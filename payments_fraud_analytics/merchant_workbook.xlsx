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_View" sheetId="1" state="visible" r:id="rId1"/>
    <sheet xmlns:r="http://schemas.openxmlformats.org/officeDocument/2006/relationships" name="Merchants" sheetId="2" state="visible" r:id="rId2"/>
    <sheet xmlns:r="http://schemas.openxmlformats.org/officeDocument/2006/relationships" name="Fee_Reference" sheetId="3" state="visible" r:id="rId3"/>
    <sheet xmlns:r="http://schemas.openxmlformats.org/officeDocument/2006/relationships" name="Daily_Merchant_Summary" sheetId="4" state="visible" r:id="rId4"/>
    <sheet xmlns:r="http://schemas.openxmlformats.org/officeDocument/2006/relationships" name="Pivot_Merchant_Status" sheetId="5" state="visible" r:id="rId5"/>
    <sheet xmlns:r="http://schemas.openxmlformats.org/officeDocument/2006/relationships" name="Merchant_Day_Comparison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ransactionsView" displayName="TransactionsView" ref="A1:O548" headerRowCount="1">
  <autoFilter ref="A1:O548"/>
  <tableColumns count="15">
    <tableColumn id="1" name="transaction_id"/>
    <tableColumn id="2" name="user_id"/>
    <tableColumn id="3" name="merchant_id"/>
    <tableColumn id="4" name="transaction_time"/>
    <tableColumn id="5" name="amount_inr"/>
    <tableColumn id="6" name="payment_method"/>
    <tableColumn id="7" name="status"/>
    <tableColumn id="8" name="risk_score"/>
    <tableColumn id="9" name="transaction_date"/>
    <tableColumn id="10" name="merchant_name"/>
    <tableColumn id="11" name="category"/>
    <tableColumn id="12" name="region"/>
    <tableColumn id="13" name="fee_tier"/>
    <tableColumn id="14" name="merchant_day_total"/>
    <tableColumn id="15" name="class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rchantsTable" displayName="MerchantsTable" ref="A1:D41" headerRowCount="1">
  <autoFilter ref="A1:D41"/>
  <tableColumns count="4">
    <tableColumn id="1" name="merchant_id"/>
    <tableColumn id="2" name="merchant_name"/>
    <tableColumn id="3" name="category"/>
    <tableColumn id="4" name="reg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21" customWidth="1" min="4" max="4"/>
    <col width="12" customWidth="1" min="5" max="5"/>
    <col width="16" customWidth="1" min="6" max="6"/>
    <col width="12" customWidth="1" min="7" max="7"/>
    <col width="12" customWidth="1" min="8" max="8"/>
    <col width="1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merchant_id</t>
        </is>
      </c>
      <c r="D1" s="1" t="inlineStr">
        <is>
          <t>transaction_time</t>
        </is>
      </c>
      <c r="E1" s="1" t="inlineStr">
        <is>
          <t>amount_inr</t>
        </is>
      </c>
      <c r="F1" s="1" t="inlineStr">
        <is>
          <t>payment_method</t>
        </is>
      </c>
      <c r="G1" s="1" t="inlineStr">
        <is>
          <t>status</t>
        </is>
      </c>
      <c r="H1" s="1" t="inlineStr">
        <is>
          <t>risk_score</t>
        </is>
      </c>
      <c r="I1" s="2" t="inlineStr">
        <is>
          <t>transaction_date</t>
        </is>
      </c>
      <c r="J1" s="2" t="inlineStr">
        <is>
          <t>merchant_name</t>
        </is>
      </c>
      <c r="K1" s="2" t="inlineStr">
        <is>
          <t>category</t>
        </is>
      </c>
      <c r="L1" s="2" t="inlineStr">
        <is>
          <t>region</t>
        </is>
      </c>
      <c r="M1" s="2" t="inlineStr">
        <is>
          <t>fee_tier</t>
        </is>
      </c>
      <c r="N1" s="2" t="inlineStr">
        <is>
          <t>merchant_day_total</t>
        </is>
      </c>
      <c r="O1" s="2" t="inlineStr">
        <is>
          <t>classification</t>
        </is>
      </c>
    </row>
    <row r="2">
      <c r="A2" t="inlineStr">
        <is>
          <t>TXN100000</t>
        </is>
      </c>
      <c r="B2" t="n">
        <v>350</v>
      </c>
      <c r="C2" t="n">
        <v>16</v>
      </c>
      <c r="D2" s="3" t="n">
        <v>46051.46736111111</v>
      </c>
      <c r="E2" t="n">
        <v>2999</v>
      </c>
      <c r="F2" t="inlineStr">
        <is>
          <t>Wallet</t>
        </is>
      </c>
      <c r="G2" t="inlineStr">
        <is>
          <t>captured</t>
        </is>
      </c>
      <c r="H2" t="n">
        <v>85</v>
      </c>
      <c r="I2" s="4">
        <f>INT(D2)</f>
        <v/>
      </c>
      <c r="J2">
        <f>IFERROR(VLOOKUP(C2,Merchants!$A$2:$D$41,2,FALSE),"Merchant not found")</f>
        <v/>
      </c>
      <c r="K2">
        <f>IFERROR(VLOOKUP(C2,Merchants!$A$2:$D$41,3,FALSE),"Merchant not found")</f>
        <v/>
      </c>
      <c r="L2">
        <f>IFERROR(VLOOKUP(C2,Merchants!$A$2:$D$41,4,FALSE),"Merchant not found")</f>
        <v/>
      </c>
      <c r="M2" s="5">
        <f>HLOOKUP(F2,Fee_Reference!$B$1:$E$2,2,FALSE)</f>
        <v/>
      </c>
      <c r="N2">
        <f>SUMIFS($E$2:$E$548,$C$2:$C$548,C2,$I$2:$I$548,I2)</f>
        <v/>
      </c>
      <c r="O2">
        <f>IF(J2="Merchant not found","Merchant not found",IF(AND(N2&gt;5000,L2&lt;&gt;"East"),"High-Value Merchant Day","Normal Merchant Day"))</f>
        <v/>
      </c>
    </row>
    <row r="3">
      <c r="A3" t="inlineStr">
        <is>
          <t>TXN100001</t>
        </is>
      </c>
      <c r="B3" t="n">
        <v>287</v>
      </c>
      <c r="C3" t="n">
        <v>27</v>
      </c>
      <c r="D3" s="3" t="n">
        <v>46026.49236111111</v>
      </c>
      <c r="E3" t="n">
        <v>49</v>
      </c>
      <c r="F3" t="inlineStr">
        <is>
          <t>UPI</t>
        </is>
      </c>
      <c r="G3" t="inlineStr">
        <is>
          <t>captured</t>
        </is>
      </c>
      <c r="H3" t="n">
        <v>79</v>
      </c>
      <c r="I3" s="4">
        <f>INT(D3)</f>
        <v/>
      </c>
      <c r="J3">
        <f>IFERROR(VLOOKUP(C3,Merchants!$A$2:$D$41,2,FALSE),"Merchant not found")</f>
        <v/>
      </c>
      <c r="K3">
        <f>IFERROR(VLOOKUP(C3,Merchants!$A$2:$D$41,3,FALSE),"Merchant not found")</f>
        <v/>
      </c>
      <c r="L3">
        <f>IFERROR(VLOOKUP(C3,Merchants!$A$2:$D$41,4,FALSE),"Merchant not found")</f>
        <v/>
      </c>
      <c r="M3" s="5">
        <f>HLOOKUP(F3,Fee_Reference!$B$1:$E$2,2,FALSE)</f>
        <v/>
      </c>
      <c r="N3">
        <f>SUMIFS($E$2:$E$548,$C$2:$C$548,C3,$I$2:$I$548,I3)</f>
        <v/>
      </c>
      <c r="O3">
        <f>IF(J3="Merchant not found","Merchant not found",IF(AND(N3&gt;5000,L3&lt;&gt;"East"),"High-Value Merchant Day","Normal Merchant Day"))</f>
        <v/>
      </c>
    </row>
    <row r="4">
      <c r="A4" t="inlineStr">
        <is>
          <t>TXN100002</t>
        </is>
      </c>
      <c r="B4" t="n">
        <v>122</v>
      </c>
      <c r="C4" t="n">
        <v>11</v>
      </c>
      <c r="D4" s="3" t="n">
        <v>46046.20763888889</v>
      </c>
      <c r="E4" t="n">
        <v>1499</v>
      </c>
      <c r="F4" t="inlineStr">
        <is>
          <t>Wallet</t>
        </is>
      </c>
      <c r="G4" t="inlineStr">
        <is>
          <t>captured</t>
        </is>
      </c>
      <c r="H4" t="n">
        <v>22</v>
      </c>
      <c r="I4" s="4">
        <f>INT(D4)</f>
        <v/>
      </c>
      <c r="J4">
        <f>IFERROR(VLOOKUP(C4,Merchants!$A$2:$D$41,2,FALSE),"Merchant not found")</f>
        <v/>
      </c>
      <c r="K4">
        <f>IFERROR(VLOOKUP(C4,Merchants!$A$2:$D$41,3,FALSE),"Merchant not found")</f>
        <v/>
      </c>
      <c r="L4">
        <f>IFERROR(VLOOKUP(C4,Merchants!$A$2:$D$41,4,FALSE),"Merchant not found")</f>
        <v/>
      </c>
      <c r="M4" s="5">
        <f>HLOOKUP(F4,Fee_Reference!$B$1:$E$2,2,FALSE)</f>
        <v/>
      </c>
      <c r="N4">
        <f>SUMIFS($E$2:$E$548,$C$2:$C$548,C4,$I$2:$I$548,I4)</f>
        <v/>
      </c>
      <c r="O4">
        <f>IF(J4="Merchant not found","Merchant not found",IF(AND(N4&gt;5000,L4&lt;&gt;"East"),"High-Value Merchant Day","Normal Merchant Day"))</f>
        <v/>
      </c>
    </row>
    <row r="5">
      <c r="A5" t="inlineStr">
        <is>
          <t>TXN100003</t>
        </is>
      </c>
      <c r="B5" t="n">
        <v>92</v>
      </c>
      <c r="C5" t="n">
        <v>22</v>
      </c>
      <c r="D5" s="3" t="n">
        <v>46051.54236111111</v>
      </c>
      <c r="E5" t="n">
        <v>49</v>
      </c>
      <c r="F5" t="inlineStr">
        <is>
          <t>Netbanking</t>
        </is>
      </c>
      <c r="G5" t="inlineStr">
        <is>
          <t>captured</t>
        </is>
      </c>
      <c r="H5" t="n">
        <v>100</v>
      </c>
      <c r="I5" s="4">
        <f>INT(D5)</f>
        <v/>
      </c>
      <c r="J5">
        <f>IFERROR(VLOOKUP(C5,Merchants!$A$2:$D$41,2,FALSE),"Merchant not found")</f>
        <v/>
      </c>
      <c r="K5">
        <f>IFERROR(VLOOKUP(C5,Merchants!$A$2:$D$41,3,FALSE),"Merchant not found")</f>
        <v/>
      </c>
      <c r="L5">
        <f>IFERROR(VLOOKUP(C5,Merchants!$A$2:$D$41,4,FALSE),"Merchant not found")</f>
        <v/>
      </c>
      <c r="M5" s="5">
        <f>HLOOKUP(F5,Fee_Reference!$B$1:$E$2,2,FALSE)</f>
        <v/>
      </c>
      <c r="N5">
        <f>SUMIFS($E$2:$E$548,$C$2:$C$548,C5,$I$2:$I$548,I5)</f>
        <v/>
      </c>
      <c r="O5">
        <f>IF(J5="Merchant not found","Merchant not found",IF(AND(N5&gt;5000,L5&lt;&gt;"East"),"High-Value Merchant Day","Normal Merchant Day"))</f>
        <v/>
      </c>
    </row>
    <row r="6">
      <c r="A6" t="inlineStr">
        <is>
          <t>TXN100004</t>
        </is>
      </c>
      <c r="B6" t="n">
        <v>343</v>
      </c>
      <c r="C6" t="n">
        <v>16</v>
      </c>
      <c r="D6" s="3" t="n">
        <v>46052.57708333333</v>
      </c>
      <c r="E6" t="n">
        <v>99</v>
      </c>
      <c r="F6" t="inlineStr">
        <is>
          <t>UPI</t>
        </is>
      </c>
      <c r="G6" t="inlineStr">
        <is>
          <t>captured</t>
        </is>
      </c>
      <c r="H6" t="n">
        <v>34</v>
      </c>
      <c r="I6" s="4">
        <f>INT(D6)</f>
        <v/>
      </c>
      <c r="J6">
        <f>IFERROR(VLOOKUP(C6,Merchants!$A$2:$D$41,2,FALSE),"Merchant not found")</f>
        <v/>
      </c>
      <c r="K6">
        <f>IFERROR(VLOOKUP(C6,Merchants!$A$2:$D$41,3,FALSE),"Merchant not found")</f>
        <v/>
      </c>
      <c r="L6">
        <f>IFERROR(VLOOKUP(C6,Merchants!$A$2:$D$41,4,FALSE),"Merchant not found")</f>
        <v/>
      </c>
      <c r="M6" s="5">
        <f>HLOOKUP(F6,Fee_Reference!$B$1:$E$2,2,FALSE)</f>
        <v/>
      </c>
      <c r="N6">
        <f>SUMIFS($E$2:$E$548,$C$2:$C$548,C6,$I$2:$I$548,I6)</f>
        <v/>
      </c>
      <c r="O6">
        <f>IF(J6="Merchant not found","Merchant not found",IF(AND(N6&gt;5000,L6&lt;&gt;"East"),"High-Value Merchant Day","Normal Merchant Day"))</f>
        <v/>
      </c>
    </row>
    <row r="7">
      <c r="A7" t="inlineStr">
        <is>
          <t>TXN100005</t>
        </is>
      </c>
      <c r="B7" t="n">
        <v>196</v>
      </c>
      <c r="C7" t="n">
        <v>3</v>
      </c>
      <c r="D7" s="3" t="n">
        <v>46028.92083333333</v>
      </c>
      <c r="E7" t="n">
        <v>99</v>
      </c>
      <c r="F7" t="inlineStr">
        <is>
          <t>UPI</t>
        </is>
      </c>
      <c r="G7" t="inlineStr">
        <is>
          <t>captured</t>
        </is>
      </c>
      <c r="H7" t="n">
        <v>60</v>
      </c>
      <c r="I7" s="4">
        <f>INT(D7)</f>
        <v/>
      </c>
      <c r="J7">
        <f>IFERROR(VLOOKUP(C7,Merchants!$A$2:$D$41,2,FALSE),"Merchant not found")</f>
        <v/>
      </c>
      <c r="K7">
        <f>IFERROR(VLOOKUP(C7,Merchants!$A$2:$D$41,3,FALSE),"Merchant not found")</f>
        <v/>
      </c>
      <c r="L7">
        <f>IFERROR(VLOOKUP(C7,Merchants!$A$2:$D$41,4,FALSE),"Merchant not found")</f>
        <v/>
      </c>
      <c r="M7" s="5">
        <f>HLOOKUP(F7,Fee_Reference!$B$1:$E$2,2,FALSE)</f>
        <v/>
      </c>
      <c r="N7">
        <f>SUMIFS($E$2:$E$548,$C$2:$C$548,C7,$I$2:$I$548,I7)</f>
        <v/>
      </c>
      <c r="O7">
        <f>IF(J7="Merchant not found","Merchant not found",IF(AND(N7&gt;5000,L7&lt;&gt;"East"),"High-Value Merchant Day","Normal Merchant Day"))</f>
        <v/>
      </c>
    </row>
    <row r="8">
      <c r="A8" t="inlineStr">
        <is>
          <t>TXN100006</t>
        </is>
      </c>
      <c r="B8" t="n">
        <v>236</v>
      </c>
      <c r="C8" t="n">
        <v>23</v>
      </c>
      <c r="D8" s="3" t="n">
        <v>46030.28611111111</v>
      </c>
      <c r="E8" t="n">
        <v>99</v>
      </c>
      <c r="F8" t="inlineStr">
        <is>
          <t>Wallet</t>
        </is>
      </c>
      <c r="G8" t="inlineStr">
        <is>
          <t>captured</t>
        </is>
      </c>
      <c r="H8" t="n">
        <v>39</v>
      </c>
      <c r="I8" s="4">
        <f>INT(D8)</f>
        <v/>
      </c>
      <c r="J8">
        <f>IFERROR(VLOOKUP(C8,Merchants!$A$2:$D$41,2,FALSE),"Merchant not found")</f>
        <v/>
      </c>
      <c r="K8">
        <f>IFERROR(VLOOKUP(C8,Merchants!$A$2:$D$41,3,FALSE),"Merchant not found")</f>
        <v/>
      </c>
      <c r="L8">
        <f>IFERROR(VLOOKUP(C8,Merchants!$A$2:$D$41,4,FALSE),"Merchant not found")</f>
        <v/>
      </c>
      <c r="M8" s="5">
        <f>HLOOKUP(F8,Fee_Reference!$B$1:$E$2,2,FALSE)</f>
        <v/>
      </c>
      <c r="N8">
        <f>SUMIFS($E$2:$E$548,$C$2:$C$548,C8,$I$2:$I$548,I8)</f>
        <v/>
      </c>
      <c r="O8">
        <f>IF(J8="Merchant not found","Merchant not found",IF(AND(N8&gt;5000,L8&lt;&gt;"East"),"High-Value Merchant Day","Normal Merchant Day"))</f>
        <v/>
      </c>
    </row>
    <row r="9">
      <c r="A9" t="inlineStr">
        <is>
          <t>TXN100007</t>
        </is>
      </c>
      <c r="B9" t="n">
        <v>13</v>
      </c>
      <c r="C9" t="n">
        <v>13</v>
      </c>
      <c r="D9" s="3" t="n">
        <v>46049.30138888889</v>
      </c>
      <c r="E9" t="n">
        <v>99</v>
      </c>
      <c r="F9" t="inlineStr">
        <is>
          <t>UPI</t>
        </is>
      </c>
      <c r="G9" t="inlineStr">
        <is>
          <t>captured</t>
        </is>
      </c>
      <c r="H9" t="n">
        <v>51</v>
      </c>
      <c r="I9" s="4">
        <f>INT(D9)</f>
        <v/>
      </c>
      <c r="J9">
        <f>IFERROR(VLOOKUP(C9,Merchants!$A$2:$D$41,2,FALSE),"Merchant not found")</f>
        <v/>
      </c>
      <c r="K9">
        <f>IFERROR(VLOOKUP(C9,Merchants!$A$2:$D$41,3,FALSE),"Merchant not found")</f>
        <v/>
      </c>
      <c r="L9">
        <f>IFERROR(VLOOKUP(C9,Merchants!$A$2:$D$41,4,FALSE),"Merchant not found")</f>
        <v/>
      </c>
      <c r="M9" s="5">
        <f>HLOOKUP(F9,Fee_Reference!$B$1:$E$2,2,FALSE)</f>
        <v/>
      </c>
      <c r="N9">
        <f>SUMIFS($E$2:$E$548,$C$2:$C$548,C9,$I$2:$I$548,I9)</f>
        <v/>
      </c>
      <c r="O9">
        <f>IF(J9="Merchant not found","Merchant not found",IF(AND(N9&gt;5000,L9&lt;&gt;"East"),"High-Value Merchant Day","Normal Merchant Day"))</f>
        <v/>
      </c>
    </row>
    <row r="10">
      <c r="A10" t="inlineStr">
        <is>
          <t>TXN100008</t>
        </is>
      </c>
      <c r="B10" t="n">
        <v>36</v>
      </c>
      <c r="C10" t="n">
        <v>18</v>
      </c>
      <c r="D10" s="3" t="n">
        <v>46033.37152777778</v>
      </c>
      <c r="E10" t="n">
        <v>799</v>
      </c>
      <c r="F10" t="inlineStr">
        <is>
          <t>UPI</t>
        </is>
      </c>
      <c r="G10" t="inlineStr">
        <is>
          <t>captured</t>
        </is>
      </c>
      <c r="H10" t="n">
        <v>44</v>
      </c>
      <c r="I10" s="4">
        <f>INT(D10)</f>
        <v/>
      </c>
      <c r="J10">
        <f>IFERROR(VLOOKUP(C10,Merchants!$A$2:$D$41,2,FALSE),"Merchant not found")</f>
        <v/>
      </c>
      <c r="K10">
        <f>IFERROR(VLOOKUP(C10,Merchants!$A$2:$D$41,3,FALSE),"Merchant not found")</f>
        <v/>
      </c>
      <c r="L10">
        <f>IFERROR(VLOOKUP(C10,Merchants!$A$2:$D$41,4,FALSE),"Merchant not found")</f>
        <v/>
      </c>
      <c r="M10" s="5">
        <f>HLOOKUP(F10,Fee_Reference!$B$1:$E$2,2,FALSE)</f>
        <v/>
      </c>
      <c r="N10">
        <f>SUMIFS($E$2:$E$548,$C$2:$C$548,C10,$I$2:$I$548,I10)</f>
        <v/>
      </c>
      <c r="O10">
        <f>IF(J10="Merchant not found","Merchant not found",IF(AND(N10&gt;5000,L10&lt;&gt;"East"),"High-Value Merchant Day","Normal Merchant Day"))</f>
        <v/>
      </c>
    </row>
    <row r="11">
      <c r="A11" t="inlineStr">
        <is>
          <t>TXN100009</t>
        </is>
      </c>
      <c r="B11" t="n">
        <v>348</v>
      </c>
      <c r="C11" t="n">
        <v>35</v>
      </c>
      <c r="D11" s="3" t="n">
        <v>46043.68402777778</v>
      </c>
      <c r="E11" t="n">
        <v>299</v>
      </c>
      <c r="F11" t="inlineStr">
        <is>
          <t>UPI</t>
        </is>
      </c>
      <c r="G11" t="inlineStr">
        <is>
          <t>captured</t>
        </is>
      </c>
      <c r="H11" t="n">
        <v>42</v>
      </c>
      <c r="I11" s="4">
        <f>INT(D11)</f>
        <v/>
      </c>
      <c r="J11">
        <f>IFERROR(VLOOKUP(C11,Merchants!$A$2:$D$41,2,FALSE),"Merchant not found")</f>
        <v/>
      </c>
      <c r="K11">
        <f>IFERROR(VLOOKUP(C11,Merchants!$A$2:$D$41,3,FALSE),"Merchant not found")</f>
        <v/>
      </c>
      <c r="L11">
        <f>IFERROR(VLOOKUP(C11,Merchants!$A$2:$D$41,4,FALSE),"Merchant not found")</f>
        <v/>
      </c>
      <c r="M11" s="5">
        <f>HLOOKUP(F11,Fee_Reference!$B$1:$E$2,2,FALSE)</f>
        <v/>
      </c>
      <c r="N11">
        <f>SUMIFS($E$2:$E$548,$C$2:$C$548,C11,$I$2:$I$548,I11)</f>
        <v/>
      </c>
      <c r="O11">
        <f>IF(J11="Merchant not found","Merchant not found",IF(AND(N11&gt;5000,L11&lt;&gt;"East"),"High-Value Merchant Day","Normal Merchant Day"))</f>
        <v/>
      </c>
    </row>
    <row r="12">
      <c r="A12" t="inlineStr">
        <is>
          <t>TXN100010</t>
        </is>
      </c>
      <c r="B12" t="n">
        <v>134</v>
      </c>
      <c r="C12" t="n">
        <v>12</v>
      </c>
      <c r="D12" s="3" t="n">
        <v>46023.16388888889</v>
      </c>
      <c r="E12" t="n">
        <v>49</v>
      </c>
      <c r="F12" t="inlineStr">
        <is>
          <t>UPI</t>
        </is>
      </c>
      <c r="G12" t="inlineStr">
        <is>
          <t>captured</t>
        </is>
      </c>
      <c r="H12" t="n">
        <v>74</v>
      </c>
      <c r="I12" s="4">
        <f>INT(D12)</f>
        <v/>
      </c>
      <c r="J12">
        <f>IFERROR(VLOOKUP(C12,Merchants!$A$2:$D$41,2,FALSE),"Merchant not found")</f>
        <v/>
      </c>
      <c r="K12">
        <f>IFERROR(VLOOKUP(C12,Merchants!$A$2:$D$41,3,FALSE),"Merchant not found")</f>
        <v/>
      </c>
      <c r="L12">
        <f>IFERROR(VLOOKUP(C12,Merchants!$A$2:$D$41,4,FALSE),"Merchant not found")</f>
        <v/>
      </c>
      <c r="M12" s="5">
        <f>HLOOKUP(F12,Fee_Reference!$B$1:$E$2,2,FALSE)</f>
        <v/>
      </c>
      <c r="N12">
        <f>SUMIFS($E$2:$E$548,$C$2:$C$548,C12,$I$2:$I$548,I12)</f>
        <v/>
      </c>
      <c r="O12">
        <f>IF(J12="Merchant not found","Merchant not found",IF(AND(N12&gt;5000,L12&lt;&gt;"East"),"High-Value Merchant Day","Normal Merchant Day"))</f>
        <v/>
      </c>
    </row>
    <row r="13">
      <c r="A13" t="inlineStr">
        <is>
          <t>TXN100011</t>
        </is>
      </c>
      <c r="B13" t="n">
        <v>306</v>
      </c>
      <c r="C13" t="n">
        <v>28</v>
      </c>
      <c r="D13" s="3" t="n">
        <v>46031.04583333333</v>
      </c>
      <c r="E13" t="n">
        <v>2999</v>
      </c>
      <c r="F13" t="inlineStr">
        <is>
          <t>Card</t>
        </is>
      </c>
      <c r="G13" t="inlineStr">
        <is>
          <t>failed</t>
        </is>
      </c>
      <c r="H13" t="n">
        <v>44</v>
      </c>
      <c r="I13" s="4">
        <f>INT(D13)</f>
        <v/>
      </c>
      <c r="J13">
        <f>IFERROR(VLOOKUP(C13,Merchants!$A$2:$D$41,2,FALSE),"Merchant not found")</f>
        <v/>
      </c>
      <c r="K13">
        <f>IFERROR(VLOOKUP(C13,Merchants!$A$2:$D$41,3,FALSE),"Merchant not found")</f>
        <v/>
      </c>
      <c r="L13">
        <f>IFERROR(VLOOKUP(C13,Merchants!$A$2:$D$41,4,FALSE),"Merchant not found")</f>
        <v/>
      </c>
      <c r="M13" s="5">
        <f>HLOOKUP(F13,Fee_Reference!$B$1:$E$2,2,FALSE)</f>
        <v/>
      </c>
      <c r="N13">
        <f>SUMIFS($E$2:$E$548,$C$2:$C$548,C13,$I$2:$I$548,I13)</f>
        <v/>
      </c>
      <c r="O13">
        <f>IF(J13="Merchant not found","Merchant not found",IF(AND(N13&gt;5000,L13&lt;&gt;"East"),"High-Value Merchant Day","Normal Merchant Day"))</f>
        <v/>
      </c>
    </row>
    <row r="14">
      <c r="A14" t="inlineStr">
        <is>
          <t>TXN100012</t>
        </is>
      </c>
      <c r="B14" t="n">
        <v>311</v>
      </c>
      <c r="C14" t="n">
        <v>33</v>
      </c>
      <c r="D14" s="3" t="n">
        <v>46046.43541666667</v>
      </c>
      <c r="E14" t="n">
        <v>49</v>
      </c>
      <c r="F14" t="inlineStr">
        <is>
          <t>Wallet</t>
        </is>
      </c>
      <c r="G14" t="inlineStr">
        <is>
          <t>captured</t>
        </is>
      </c>
      <c r="H14" t="n">
        <v>14</v>
      </c>
      <c r="I14" s="4">
        <f>INT(D14)</f>
        <v/>
      </c>
      <c r="J14">
        <f>IFERROR(VLOOKUP(C14,Merchants!$A$2:$D$41,2,FALSE),"Merchant not found")</f>
        <v/>
      </c>
      <c r="K14">
        <f>IFERROR(VLOOKUP(C14,Merchants!$A$2:$D$41,3,FALSE),"Merchant not found")</f>
        <v/>
      </c>
      <c r="L14">
        <f>IFERROR(VLOOKUP(C14,Merchants!$A$2:$D$41,4,FALSE),"Merchant not found")</f>
        <v/>
      </c>
      <c r="M14" s="5">
        <f>HLOOKUP(F14,Fee_Reference!$B$1:$E$2,2,FALSE)</f>
        <v/>
      </c>
      <c r="N14">
        <f>SUMIFS($E$2:$E$548,$C$2:$C$548,C14,$I$2:$I$548,I14)</f>
        <v/>
      </c>
      <c r="O14">
        <f>IF(J14="Merchant not found","Merchant not found",IF(AND(N14&gt;5000,L14&lt;&gt;"East"),"High-Value Merchant Day","Normal Merchant Day"))</f>
        <v/>
      </c>
    </row>
    <row r="15">
      <c r="A15" t="inlineStr">
        <is>
          <t>TXN100013</t>
        </is>
      </c>
      <c r="B15" t="n">
        <v>131</v>
      </c>
      <c r="C15" t="n">
        <v>3</v>
      </c>
      <c r="D15" s="3" t="n">
        <v>46035.75833333333</v>
      </c>
      <c r="E15" t="n">
        <v>49</v>
      </c>
      <c r="F15" t="inlineStr">
        <is>
          <t>UPI</t>
        </is>
      </c>
      <c r="G15" t="inlineStr">
        <is>
          <t>captured</t>
        </is>
      </c>
      <c r="H15" t="n">
        <v>90</v>
      </c>
      <c r="I15" s="4">
        <f>INT(D15)</f>
        <v/>
      </c>
      <c r="J15">
        <f>IFERROR(VLOOKUP(C15,Merchants!$A$2:$D$41,2,FALSE),"Merchant not found")</f>
        <v/>
      </c>
      <c r="K15">
        <f>IFERROR(VLOOKUP(C15,Merchants!$A$2:$D$41,3,FALSE),"Merchant not found")</f>
        <v/>
      </c>
      <c r="L15">
        <f>IFERROR(VLOOKUP(C15,Merchants!$A$2:$D$41,4,FALSE),"Merchant not found")</f>
        <v/>
      </c>
      <c r="M15" s="5">
        <f>HLOOKUP(F15,Fee_Reference!$B$1:$E$2,2,FALSE)</f>
        <v/>
      </c>
      <c r="N15">
        <f>SUMIFS($E$2:$E$548,$C$2:$C$548,C15,$I$2:$I$548,I15)</f>
        <v/>
      </c>
      <c r="O15">
        <f>IF(J15="Merchant not found","Merchant not found",IF(AND(N15&gt;5000,L15&lt;&gt;"East"),"High-Value Merchant Day","Normal Merchant Day"))</f>
        <v/>
      </c>
    </row>
    <row r="16">
      <c r="A16" t="inlineStr">
        <is>
          <t>TXN100014</t>
        </is>
      </c>
      <c r="B16" t="n">
        <v>276</v>
      </c>
      <c r="C16" t="n">
        <v>13</v>
      </c>
      <c r="D16" s="3" t="n">
        <v>46036.02291666667</v>
      </c>
      <c r="E16" t="n">
        <v>1499</v>
      </c>
      <c r="F16" t="inlineStr">
        <is>
          <t>UPI</t>
        </is>
      </c>
      <c r="G16" t="inlineStr">
        <is>
          <t>captured</t>
        </is>
      </c>
      <c r="H16" t="n">
        <v>46</v>
      </c>
      <c r="I16" s="4">
        <f>INT(D16)</f>
        <v/>
      </c>
      <c r="J16">
        <f>IFERROR(VLOOKUP(C16,Merchants!$A$2:$D$41,2,FALSE),"Merchant not found")</f>
        <v/>
      </c>
      <c r="K16">
        <f>IFERROR(VLOOKUP(C16,Merchants!$A$2:$D$41,3,FALSE),"Merchant not found")</f>
        <v/>
      </c>
      <c r="L16">
        <f>IFERROR(VLOOKUP(C16,Merchants!$A$2:$D$41,4,FALSE),"Merchant not found")</f>
        <v/>
      </c>
      <c r="M16" s="5">
        <f>HLOOKUP(F16,Fee_Reference!$B$1:$E$2,2,FALSE)</f>
        <v/>
      </c>
      <c r="N16">
        <f>SUMIFS($E$2:$E$548,$C$2:$C$548,C16,$I$2:$I$548,I16)</f>
        <v/>
      </c>
      <c r="O16">
        <f>IF(J16="Merchant not found","Merchant not found",IF(AND(N16&gt;5000,L16&lt;&gt;"East"),"High-Value Merchant Day","Normal Merchant Day"))</f>
        <v/>
      </c>
    </row>
    <row r="17">
      <c r="A17" t="inlineStr">
        <is>
          <t>TXN100015</t>
        </is>
      </c>
      <c r="B17" t="n">
        <v>170</v>
      </c>
      <c r="C17" t="n">
        <v>40</v>
      </c>
      <c r="D17" s="3" t="n">
        <v>46036.1125</v>
      </c>
      <c r="E17" t="n">
        <v>99</v>
      </c>
      <c r="F17" t="inlineStr">
        <is>
          <t>UPI</t>
        </is>
      </c>
      <c r="G17" t="inlineStr">
        <is>
          <t>captured</t>
        </is>
      </c>
      <c r="H17" t="n">
        <v>40</v>
      </c>
      <c r="I17" s="4">
        <f>INT(D17)</f>
        <v/>
      </c>
      <c r="J17">
        <f>IFERROR(VLOOKUP(C17,Merchants!$A$2:$D$41,2,FALSE),"Merchant not found")</f>
        <v/>
      </c>
      <c r="K17">
        <f>IFERROR(VLOOKUP(C17,Merchants!$A$2:$D$41,3,FALSE),"Merchant not found")</f>
        <v/>
      </c>
      <c r="L17">
        <f>IFERROR(VLOOKUP(C17,Merchants!$A$2:$D$41,4,FALSE),"Merchant not found")</f>
        <v/>
      </c>
      <c r="M17" s="5">
        <f>HLOOKUP(F17,Fee_Reference!$B$1:$E$2,2,FALSE)</f>
        <v/>
      </c>
      <c r="N17">
        <f>SUMIFS($E$2:$E$548,$C$2:$C$548,C17,$I$2:$I$548,I17)</f>
        <v/>
      </c>
      <c r="O17">
        <f>IF(J17="Merchant not found","Merchant not found",IF(AND(N17&gt;5000,L17&lt;&gt;"East"),"High-Value Merchant Day","Normal Merchant Day"))</f>
        <v/>
      </c>
    </row>
    <row r="18">
      <c r="A18" t="inlineStr">
        <is>
          <t>TXN100016</t>
        </is>
      </c>
      <c r="B18" t="n">
        <v>154</v>
      </c>
      <c r="C18" t="n">
        <v>33</v>
      </c>
      <c r="D18" s="3" t="n">
        <v>46044.15694444445</v>
      </c>
      <c r="E18" t="n">
        <v>99</v>
      </c>
      <c r="F18" t="inlineStr">
        <is>
          <t>Netbanking</t>
        </is>
      </c>
      <c r="G18" t="inlineStr">
        <is>
          <t>captured</t>
        </is>
      </c>
      <c r="H18" t="n">
        <v>39</v>
      </c>
      <c r="I18" s="4">
        <f>INT(D18)</f>
        <v/>
      </c>
      <c r="J18">
        <f>IFERROR(VLOOKUP(C18,Merchants!$A$2:$D$41,2,FALSE),"Merchant not found")</f>
        <v/>
      </c>
      <c r="K18">
        <f>IFERROR(VLOOKUP(C18,Merchants!$A$2:$D$41,3,FALSE),"Merchant not found")</f>
        <v/>
      </c>
      <c r="L18">
        <f>IFERROR(VLOOKUP(C18,Merchants!$A$2:$D$41,4,FALSE),"Merchant not found")</f>
        <v/>
      </c>
      <c r="M18" s="5">
        <f>HLOOKUP(F18,Fee_Reference!$B$1:$E$2,2,FALSE)</f>
        <v/>
      </c>
      <c r="N18">
        <f>SUMIFS($E$2:$E$548,$C$2:$C$548,C18,$I$2:$I$548,I18)</f>
        <v/>
      </c>
      <c r="O18">
        <f>IF(J18="Merchant not found","Merchant not found",IF(AND(N18&gt;5000,L18&lt;&gt;"East"),"High-Value Merchant Day","Normal Merchant Day"))</f>
        <v/>
      </c>
    </row>
    <row r="19">
      <c r="A19" t="inlineStr">
        <is>
          <t>TXN100017</t>
        </is>
      </c>
      <c r="B19" t="n">
        <v>207</v>
      </c>
      <c r="C19" t="n">
        <v>19</v>
      </c>
      <c r="D19" s="3" t="n">
        <v>46044.55555555555</v>
      </c>
      <c r="E19" t="n">
        <v>2999</v>
      </c>
      <c r="F19" t="inlineStr">
        <is>
          <t>Card</t>
        </is>
      </c>
      <c r="G19" t="inlineStr">
        <is>
          <t>captured</t>
        </is>
      </c>
      <c r="H19" t="n">
        <v>70</v>
      </c>
      <c r="I19" s="4">
        <f>INT(D19)</f>
        <v/>
      </c>
      <c r="J19">
        <f>IFERROR(VLOOKUP(C19,Merchants!$A$2:$D$41,2,FALSE),"Merchant not found")</f>
        <v/>
      </c>
      <c r="K19">
        <f>IFERROR(VLOOKUP(C19,Merchants!$A$2:$D$41,3,FALSE),"Merchant not found")</f>
        <v/>
      </c>
      <c r="L19">
        <f>IFERROR(VLOOKUP(C19,Merchants!$A$2:$D$41,4,FALSE),"Merchant not found")</f>
        <v/>
      </c>
      <c r="M19" s="5">
        <f>HLOOKUP(F19,Fee_Reference!$B$1:$E$2,2,FALSE)</f>
        <v/>
      </c>
      <c r="N19">
        <f>SUMIFS($E$2:$E$548,$C$2:$C$548,C19,$I$2:$I$548,I19)</f>
        <v/>
      </c>
      <c r="O19">
        <f>IF(J19="Merchant not found","Merchant not found",IF(AND(N19&gt;5000,L19&lt;&gt;"East"),"High-Value Merchant Day","Normal Merchant Day"))</f>
        <v/>
      </c>
    </row>
    <row r="20">
      <c r="A20" t="inlineStr">
        <is>
          <t>TXN100018</t>
        </is>
      </c>
      <c r="B20" t="n">
        <v>341</v>
      </c>
      <c r="C20" t="n">
        <v>25</v>
      </c>
      <c r="D20" s="3" t="n">
        <v>46027.26805555556</v>
      </c>
      <c r="E20" t="n">
        <v>2999</v>
      </c>
      <c r="F20" t="inlineStr">
        <is>
          <t>UPI</t>
        </is>
      </c>
      <c r="G20" t="inlineStr">
        <is>
          <t>captured</t>
        </is>
      </c>
      <c r="H20" t="n">
        <v>86</v>
      </c>
      <c r="I20" s="4">
        <f>INT(D20)</f>
        <v/>
      </c>
      <c r="J20">
        <f>IFERROR(VLOOKUP(C20,Merchants!$A$2:$D$41,2,FALSE),"Merchant not found")</f>
        <v/>
      </c>
      <c r="K20">
        <f>IFERROR(VLOOKUP(C20,Merchants!$A$2:$D$41,3,FALSE),"Merchant not found")</f>
        <v/>
      </c>
      <c r="L20">
        <f>IFERROR(VLOOKUP(C20,Merchants!$A$2:$D$41,4,FALSE),"Merchant not found")</f>
        <v/>
      </c>
      <c r="M20" s="5">
        <f>HLOOKUP(F20,Fee_Reference!$B$1:$E$2,2,FALSE)</f>
        <v/>
      </c>
      <c r="N20">
        <f>SUMIFS($E$2:$E$548,$C$2:$C$548,C20,$I$2:$I$548,I20)</f>
        <v/>
      </c>
      <c r="O20">
        <f>IF(J20="Merchant not found","Merchant not found",IF(AND(N20&gt;5000,L20&lt;&gt;"East"),"High-Value Merchant Day","Normal Merchant Day"))</f>
        <v/>
      </c>
    </row>
    <row r="21">
      <c r="A21" t="inlineStr">
        <is>
          <t>TXN100019</t>
        </is>
      </c>
      <c r="B21" t="n">
        <v>292</v>
      </c>
      <c r="C21" t="n">
        <v>20</v>
      </c>
      <c r="D21" s="3" t="n">
        <v>46046.23541666667</v>
      </c>
      <c r="E21" t="n">
        <v>49</v>
      </c>
      <c r="F21" t="inlineStr">
        <is>
          <t>UPI</t>
        </is>
      </c>
      <c r="G21" t="inlineStr">
        <is>
          <t>captured</t>
        </is>
      </c>
      <c r="H21" t="n">
        <v>51</v>
      </c>
      <c r="I21" s="4">
        <f>INT(D21)</f>
        <v/>
      </c>
      <c r="J21">
        <f>IFERROR(VLOOKUP(C21,Merchants!$A$2:$D$41,2,FALSE),"Merchant not found")</f>
        <v/>
      </c>
      <c r="K21">
        <f>IFERROR(VLOOKUP(C21,Merchants!$A$2:$D$41,3,FALSE),"Merchant not found")</f>
        <v/>
      </c>
      <c r="L21">
        <f>IFERROR(VLOOKUP(C21,Merchants!$A$2:$D$41,4,FALSE),"Merchant not found")</f>
        <v/>
      </c>
      <c r="M21" s="5">
        <f>HLOOKUP(F21,Fee_Reference!$B$1:$E$2,2,FALSE)</f>
        <v/>
      </c>
      <c r="N21">
        <f>SUMIFS($E$2:$E$548,$C$2:$C$548,C21,$I$2:$I$548,I21)</f>
        <v/>
      </c>
      <c r="O21">
        <f>IF(J21="Merchant not found","Merchant not found",IF(AND(N21&gt;5000,L21&lt;&gt;"East"),"High-Value Merchant Day","Normal Merchant Day"))</f>
        <v/>
      </c>
    </row>
    <row r="22">
      <c r="A22" t="inlineStr">
        <is>
          <t>TXN100020</t>
        </is>
      </c>
      <c r="B22" t="n">
        <v>147</v>
      </c>
      <c r="C22" t="n">
        <v>14</v>
      </c>
      <c r="D22" s="3" t="n">
        <v>46040.01319444444</v>
      </c>
      <c r="E22" t="n">
        <v>99</v>
      </c>
      <c r="F22" t="inlineStr">
        <is>
          <t>Card</t>
        </is>
      </c>
      <c r="G22" t="inlineStr">
        <is>
          <t>captured</t>
        </is>
      </c>
      <c r="H22" t="n">
        <v>55</v>
      </c>
      <c r="I22" s="4">
        <f>INT(D22)</f>
        <v/>
      </c>
      <c r="J22">
        <f>IFERROR(VLOOKUP(C22,Merchants!$A$2:$D$41,2,FALSE),"Merchant not found")</f>
        <v/>
      </c>
      <c r="K22">
        <f>IFERROR(VLOOKUP(C22,Merchants!$A$2:$D$41,3,FALSE),"Merchant not found")</f>
        <v/>
      </c>
      <c r="L22">
        <f>IFERROR(VLOOKUP(C22,Merchants!$A$2:$D$41,4,FALSE),"Merchant not found")</f>
        <v/>
      </c>
      <c r="M22" s="5">
        <f>HLOOKUP(F22,Fee_Reference!$B$1:$E$2,2,FALSE)</f>
        <v/>
      </c>
      <c r="N22">
        <f>SUMIFS($E$2:$E$548,$C$2:$C$548,C22,$I$2:$I$548,I22)</f>
        <v/>
      </c>
      <c r="O22">
        <f>IF(J22="Merchant not found","Merchant not found",IF(AND(N22&gt;5000,L22&lt;&gt;"East"),"High-Value Merchant Day","Normal Merchant Day"))</f>
        <v/>
      </c>
    </row>
    <row r="23">
      <c r="A23" t="inlineStr">
        <is>
          <t>TXN100021</t>
        </is>
      </c>
      <c r="B23" t="n">
        <v>336</v>
      </c>
      <c r="C23" t="n">
        <v>21</v>
      </c>
      <c r="D23" s="3" t="n">
        <v>46048.77638888889</v>
      </c>
      <c r="E23" t="n">
        <v>99</v>
      </c>
      <c r="F23" t="inlineStr">
        <is>
          <t>UPI</t>
        </is>
      </c>
      <c r="G23" t="inlineStr">
        <is>
          <t>captured</t>
        </is>
      </c>
      <c r="H23" t="n">
        <v>59</v>
      </c>
      <c r="I23" s="4">
        <f>INT(D23)</f>
        <v/>
      </c>
      <c r="J23">
        <f>IFERROR(VLOOKUP(C23,Merchants!$A$2:$D$41,2,FALSE),"Merchant not found")</f>
        <v/>
      </c>
      <c r="K23">
        <f>IFERROR(VLOOKUP(C23,Merchants!$A$2:$D$41,3,FALSE),"Merchant not found")</f>
        <v/>
      </c>
      <c r="L23">
        <f>IFERROR(VLOOKUP(C23,Merchants!$A$2:$D$41,4,FALSE),"Merchant not found")</f>
        <v/>
      </c>
      <c r="M23" s="5">
        <f>HLOOKUP(F23,Fee_Reference!$B$1:$E$2,2,FALSE)</f>
        <v/>
      </c>
      <c r="N23">
        <f>SUMIFS($E$2:$E$548,$C$2:$C$548,C23,$I$2:$I$548,I23)</f>
        <v/>
      </c>
      <c r="O23">
        <f>IF(J23="Merchant not found","Merchant not found",IF(AND(N23&gt;5000,L23&lt;&gt;"East"),"High-Value Merchant Day","Normal Merchant Day"))</f>
        <v/>
      </c>
    </row>
    <row r="24">
      <c r="A24" t="inlineStr">
        <is>
          <t>TXN100022</t>
        </is>
      </c>
      <c r="B24" t="n">
        <v>110</v>
      </c>
      <c r="C24" t="n">
        <v>33</v>
      </c>
      <c r="D24" s="3" t="n">
        <v>46037.61319444444</v>
      </c>
      <c r="E24" t="n">
        <v>799</v>
      </c>
      <c r="F24" t="inlineStr">
        <is>
          <t>UPI</t>
        </is>
      </c>
      <c r="G24" t="inlineStr">
        <is>
          <t>captured</t>
        </is>
      </c>
      <c r="H24" t="n">
        <v>60</v>
      </c>
      <c r="I24" s="4">
        <f>INT(D24)</f>
        <v/>
      </c>
      <c r="J24">
        <f>IFERROR(VLOOKUP(C24,Merchants!$A$2:$D$41,2,FALSE),"Merchant not found")</f>
        <v/>
      </c>
      <c r="K24">
        <f>IFERROR(VLOOKUP(C24,Merchants!$A$2:$D$41,3,FALSE),"Merchant not found")</f>
        <v/>
      </c>
      <c r="L24">
        <f>IFERROR(VLOOKUP(C24,Merchants!$A$2:$D$41,4,FALSE),"Merchant not found")</f>
        <v/>
      </c>
      <c r="M24" s="5">
        <f>HLOOKUP(F24,Fee_Reference!$B$1:$E$2,2,FALSE)</f>
        <v/>
      </c>
      <c r="N24">
        <f>SUMIFS($E$2:$E$548,$C$2:$C$548,C24,$I$2:$I$548,I24)</f>
        <v/>
      </c>
      <c r="O24">
        <f>IF(J24="Merchant not found","Merchant not found",IF(AND(N24&gt;5000,L24&lt;&gt;"East"),"High-Value Merchant Day","Normal Merchant Day"))</f>
        <v/>
      </c>
    </row>
    <row r="25">
      <c r="A25" t="inlineStr">
        <is>
          <t>TXN100023</t>
        </is>
      </c>
      <c r="B25" t="n">
        <v>338</v>
      </c>
      <c r="C25" t="n">
        <v>6</v>
      </c>
      <c r="D25" s="3" t="n">
        <v>46048.96527777778</v>
      </c>
      <c r="E25" t="n">
        <v>799</v>
      </c>
      <c r="F25" t="inlineStr">
        <is>
          <t>UPI</t>
        </is>
      </c>
      <c r="G25" t="inlineStr">
        <is>
          <t>chargeback</t>
        </is>
      </c>
      <c r="H25" t="n">
        <v>36</v>
      </c>
      <c r="I25" s="4">
        <f>INT(D25)</f>
        <v/>
      </c>
      <c r="J25">
        <f>IFERROR(VLOOKUP(C25,Merchants!$A$2:$D$41,2,FALSE),"Merchant not found")</f>
        <v/>
      </c>
      <c r="K25">
        <f>IFERROR(VLOOKUP(C25,Merchants!$A$2:$D$41,3,FALSE),"Merchant not found")</f>
        <v/>
      </c>
      <c r="L25">
        <f>IFERROR(VLOOKUP(C25,Merchants!$A$2:$D$41,4,FALSE),"Merchant not found")</f>
        <v/>
      </c>
      <c r="M25" s="5">
        <f>HLOOKUP(F25,Fee_Reference!$B$1:$E$2,2,FALSE)</f>
        <v/>
      </c>
      <c r="N25">
        <f>SUMIFS($E$2:$E$548,$C$2:$C$548,C25,$I$2:$I$548,I25)</f>
        <v/>
      </c>
      <c r="O25">
        <f>IF(J25="Merchant not found","Merchant not found",IF(AND(N25&gt;5000,L25&lt;&gt;"East"),"High-Value Merchant Day","Normal Merchant Day"))</f>
        <v/>
      </c>
    </row>
    <row r="26">
      <c r="A26" t="inlineStr">
        <is>
          <t>TXN100024</t>
        </is>
      </c>
      <c r="B26" t="n">
        <v>318</v>
      </c>
      <c r="C26" t="n">
        <v>22</v>
      </c>
      <c r="D26" s="3" t="n">
        <v>46039.90277777778</v>
      </c>
      <c r="E26" t="n">
        <v>799</v>
      </c>
      <c r="F26" t="inlineStr">
        <is>
          <t>Wallet</t>
        </is>
      </c>
      <c r="G26" t="inlineStr">
        <is>
          <t>captured</t>
        </is>
      </c>
      <c r="H26" t="n">
        <v>11</v>
      </c>
      <c r="I26" s="4">
        <f>INT(D26)</f>
        <v/>
      </c>
      <c r="J26">
        <f>IFERROR(VLOOKUP(C26,Merchants!$A$2:$D$41,2,FALSE),"Merchant not found")</f>
        <v/>
      </c>
      <c r="K26">
        <f>IFERROR(VLOOKUP(C26,Merchants!$A$2:$D$41,3,FALSE),"Merchant not found")</f>
        <v/>
      </c>
      <c r="L26">
        <f>IFERROR(VLOOKUP(C26,Merchants!$A$2:$D$41,4,FALSE),"Merchant not found")</f>
        <v/>
      </c>
      <c r="M26" s="5">
        <f>HLOOKUP(F26,Fee_Reference!$B$1:$E$2,2,FALSE)</f>
        <v/>
      </c>
      <c r="N26">
        <f>SUMIFS($E$2:$E$548,$C$2:$C$548,C26,$I$2:$I$548,I26)</f>
        <v/>
      </c>
      <c r="O26">
        <f>IF(J26="Merchant not found","Merchant not found",IF(AND(N26&gt;5000,L26&lt;&gt;"East"),"High-Value Merchant Day","Normal Merchant Day"))</f>
        <v/>
      </c>
    </row>
    <row r="27">
      <c r="A27" t="inlineStr">
        <is>
          <t>TXN100025</t>
        </is>
      </c>
      <c r="B27" t="n">
        <v>159</v>
      </c>
      <c r="C27" t="n">
        <v>15</v>
      </c>
      <c r="D27" s="3" t="n">
        <v>46049.32152777778</v>
      </c>
      <c r="E27" t="n">
        <v>799</v>
      </c>
      <c r="F27" t="inlineStr">
        <is>
          <t>UPI</t>
        </is>
      </c>
      <c r="G27" t="inlineStr">
        <is>
          <t>captured</t>
        </is>
      </c>
      <c r="H27" t="n">
        <v>25</v>
      </c>
      <c r="I27" s="4">
        <f>INT(D27)</f>
        <v/>
      </c>
      <c r="J27">
        <f>IFERROR(VLOOKUP(C27,Merchants!$A$2:$D$41,2,FALSE),"Merchant not found")</f>
        <v/>
      </c>
      <c r="K27">
        <f>IFERROR(VLOOKUP(C27,Merchants!$A$2:$D$41,3,FALSE),"Merchant not found")</f>
        <v/>
      </c>
      <c r="L27">
        <f>IFERROR(VLOOKUP(C27,Merchants!$A$2:$D$41,4,FALSE),"Merchant not found")</f>
        <v/>
      </c>
      <c r="M27" s="5">
        <f>HLOOKUP(F27,Fee_Reference!$B$1:$E$2,2,FALSE)</f>
        <v/>
      </c>
      <c r="N27">
        <f>SUMIFS($E$2:$E$548,$C$2:$C$548,C27,$I$2:$I$548,I27)</f>
        <v/>
      </c>
      <c r="O27">
        <f>IF(J27="Merchant not found","Merchant not found",IF(AND(N27&gt;5000,L27&lt;&gt;"East"),"High-Value Merchant Day","Normal Merchant Day"))</f>
        <v/>
      </c>
    </row>
    <row r="28">
      <c r="A28" t="inlineStr">
        <is>
          <t>TXN100026</t>
        </is>
      </c>
      <c r="B28" t="n">
        <v>126</v>
      </c>
      <c r="C28" t="n">
        <v>31</v>
      </c>
      <c r="D28" s="3" t="n">
        <v>46027.00138888889</v>
      </c>
      <c r="E28" t="n">
        <v>49</v>
      </c>
      <c r="F28" t="inlineStr">
        <is>
          <t>Card</t>
        </is>
      </c>
      <c r="G28" t="inlineStr">
        <is>
          <t>captured</t>
        </is>
      </c>
      <c r="H28" t="n">
        <v>78</v>
      </c>
      <c r="I28" s="4">
        <f>INT(D28)</f>
        <v/>
      </c>
      <c r="J28">
        <f>IFERROR(VLOOKUP(C28,Merchants!$A$2:$D$41,2,FALSE),"Merchant not found")</f>
        <v/>
      </c>
      <c r="K28">
        <f>IFERROR(VLOOKUP(C28,Merchants!$A$2:$D$41,3,FALSE),"Merchant not found")</f>
        <v/>
      </c>
      <c r="L28">
        <f>IFERROR(VLOOKUP(C28,Merchants!$A$2:$D$41,4,FALSE),"Merchant not found")</f>
        <v/>
      </c>
      <c r="M28" s="5">
        <f>HLOOKUP(F28,Fee_Reference!$B$1:$E$2,2,FALSE)</f>
        <v/>
      </c>
      <c r="N28">
        <f>SUMIFS($E$2:$E$548,$C$2:$C$548,C28,$I$2:$I$548,I28)</f>
        <v/>
      </c>
      <c r="O28">
        <f>IF(J28="Merchant not found","Merchant not found",IF(AND(N28&gt;5000,L28&lt;&gt;"East"),"High-Value Merchant Day","Normal Merchant Day"))</f>
        <v/>
      </c>
    </row>
    <row r="29">
      <c r="A29" t="inlineStr">
        <is>
          <t>TXN100027</t>
        </is>
      </c>
      <c r="B29" t="n">
        <v>213</v>
      </c>
      <c r="C29" t="n">
        <v>37</v>
      </c>
      <c r="D29" s="3" t="n">
        <v>46050.10347222222</v>
      </c>
      <c r="E29" t="n">
        <v>99</v>
      </c>
      <c r="F29" t="inlineStr">
        <is>
          <t>UPI</t>
        </is>
      </c>
      <c r="G29" t="inlineStr">
        <is>
          <t>captured</t>
        </is>
      </c>
      <c r="H29" t="n">
        <v>24</v>
      </c>
      <c r="I29" s="4">
        <f>INT(D29)</f>
        <v/>
      </c>
      <c r="J29">
        <f>IFERROR(VLOOKUP(C29,Merchants!$A$2:$D$41,2,FALSE),"Merchant not found")</f>
        <v/>
      </c>
      <c r="K29">
        <f>IFERROR(VLOOKUP(C29,Merchants!$A$2:$D$41,3,FALSE),"Merchant not found")</f>
        <v/>
      </c>
      <c r="L29">
        <f>IFERROR(VLOOKUP(C29,Merchants!$A$2:$D$41,4,FALSE),"Merchant not found")</f>
        <v/>
      </c>
      <c r="M29" s="5">
        <f>HLOOKUP(F29,Fee_Reference!$B$1:$E$2,2,FALSE)</f>
        <v/>
      </c>
      <c r="N29">
        <f>SUMIFS($E$2:$E$548,$C$2:$C$548,C29,$I$2:$I$548,I29)</f>
        <v/>
      </c>
      <c r="O29">
        <f>IF(J29="Merchant not found","Merchant not found",IF(AND(N29&gt;5000,L29&lt;&gt;"East"),"High-Value Merchant Day","Normal Merchant Day"))</f>
        <v/>
      </c>
    </row>
    <row r="30">
      <c r="A30" t="inlineStr">
        <is>
          <t>TXN100028</t>
        </is>
      </c>
      <c r="B30" t="n">
        <v>254</v>
      </c>
      <c r="C30" t="n">
        <v>26</v>
      </c>
      <c r="D30" s="3" t="n">
        <v>46045.93333333333</v>
      </c>
      <c r="E30" t="n">
        <v>99</v>
      </c>
      <c r="F30" t="inlineStr">
        <is>
          <t>Wallet</t>
        </is>
      </c>
      <c r="G30" t="inlineStr">
        <is>
          <t>captured</t>
        </is>
      </c>
      <c r="H30" t="n">
        <v>31</v>
      </c>
      <c r="I30" s="4">
        <f>INT(D30)</f>
        <v/>
      </c>
      <c r="J30">
        <f>IFERROR(VLOOKUP(C30,Merchants!$A$2:$D$41,2,FALSE),"Merchant not found")</f>
        <v/>
      </c>
      <c r="K30">
        <f>IFERROR(VLOOKUP(C30,Merchants!$A$2:$D$41,3,FALSE),"Merchant not found")</f>
        <v/>
      </c>
      <c r="L30">
        <f>IFERROR(VLOOKUP(C30,Merchants!$A$2:$D$41,4,FALSE),"Merchant not found")</f>
        <v/>
      </c>
      <c r="M30" s="5">
        <f>HLOOKUP(F30,Fee_Reference!$B$1:$E$2,2,FALSE)</f>
        <v/>
      </c>
      <c r="N30">
        <f>SUMIFS($E$2:$E$548,$C$2:$C$548,C30,$I$2:$I$548,I30)</f>
        <v/>
      </c>
      <c r="O30">
        <f>IF(J30="Merchant not found","Merchant not found",IF(AND(N30&gt;5000,L30&lt;&gt;"East"),"High-Value Merchant Day","Normal Merchant Day"))</f>
        <v/>
      </c>
    </row>
    <row r="31">
      <c r="A31" t="inlineStr">
        <is>
          <t>TXN100029</t>
        </is>
      </c>
      <c r="B31" t="n">
        <v>3</v>
      </c>
      <c r="C31" t="n">
        <v>7</v>
      </c>
      <c r="D31" s="3" t="n">
        <v>46027.86388888889</v>
      </c>
      <c r="E31" t="n">
        <v>1499</v>
      </c>
      <c r="F31" t="inlineStr">
        <is>
          <t>UPI</t>
        </is>
      </c>
      <c r="G31" t="inlineStr">
        <is>
          <t>captured</t>
        </is>
      </c>
      <c r="H31" t="n">
        <v>99</v>
      </c>
      <c r="I31" s="4">
        <f>INT(D31)</f>
        <v/>
      </c>
      <c r="J31">
        <f>IFERROR(VLOOKUP(C31,Merchants!$A$2:$D$41,2,FALSE),"Merchant not found")</f>
        <v/>
      </c>
      <c r="K31">
        <f>IFERROR(VLOOKUP(C31,Merchants!$A$2:$D$41,3,FALSE),"Merchant not found")</f>
        <v/>
      </c>
      <c r="L31">
        <f>IFERROR(VLOOKUP(C31,Merchants!$A$2:$D$41,4,FALSE),"Merchant not found")</f>
        <v/>
      </c>
      <c r="M31" s="5">
        <f>HLOOKUP(F31,Fee_Reference!$B$1:$E$2,2,FALSE)</f>
        <v/>
      </c>
      <c r="N31">
        <f>SUMIFS($E$2:$E$548,$C$2:$C$548,C31,$I$2:$I$548,I31)</f>
        <v/>
      </c>
      <c r="O31">
        <f>IF(J31="Merchant not found","Merchant not found",IF(AND(N31&gt;5000,L31&lt;&gt;"East"),"High-Value Merchant Day","Normal Merchant Day"))</f>
        <v/>
      </c>
    </row>
    <row r="32">
      <c r="A32" t="inlineStr">
        <is>
          <t>TXN100030</t>
        </is>
      </c>
      <c r="B32" t="n">
        <v>266</v>
      </c>
      <c r="C32" t="n">
        <v>30</v>
      </c>
      <c r="D32" s="3" t="n">
        <v>46036.29930555556</v>
      </c>
      <c r="E32" t="n">
        <v>499</v>
      </c>
      <c r="F32" t="inlineStr">
        <is>
          <t>Card</t>
        </is>
      </c>
      <c r="G32" t="inlineStr">
        <is>
          <t>captured</t>
        </is>
      </c>
      <c r="H32" t="n">
        <v>6</v>
      </c>
      <c r="I32" s="4">
        <f>INT(D32)</f>
        <v/>
      </c>
      <c r="J32">
        <f>IFERROR(VLOOKUP(C32,Merchants!$A$2:$D$41,2,FALSE),"Merchant not found")</f>
        <v/>
      </c>
      <c r="K32">
        <f>IFERROR(VLOOKUP(C32,Merchants!$A$2:$D$41,3,FALSE),"Merchant not found")</f>
        <v/>
      </c>
      <c r="L32">
        <f>IFERROR(VLOOKUP(C32,Merchants!$A$2:$D$41,4,FALSE),"Merchant not found")</f>
        <v/>
      </c>
      <c r="M32" s="5">
        <f>HLOOKUP(F32,Fee_Reference!$B$1:$E$2,2,FALSE)</f>
        <v/>
      </c>
      <c r="N32">
        <f>SUMIFS($E$2:$E$548,$C$2:$C$548,C32,$I$2:$I$548,I32)</f>
        <v/>
      </c>
      <c r="O32">
        <f>IF(J32="Merchant not found","Merchant not found",IF(AND(N32&gt;5000,L32&lt;&gt;"East"),"High-Value Merchant Day","Normal Merchant Day"))</f>
        <v/>
      </c>
    </row>
    <row r="33">
      <c r="A33" t="inlineStr">
        <is>
          <t>TXN100031</t>
        </is>
      </c>
      <c r="B33" t="n">
        <v>63</v>
      </c>
      <c r="C33" t="n">
        <v>30</v>
      </c>
      <c r="D33" s="3" t="n">
        <v>46040.33194444444</v>
      </c>
      <c r="E33" t="n">
        <v>799</v>
      </c>
      <c r="F33" t="inlineStr">
        <is>
          <t>UPI</t>
        </is>
      </c>
      <c r="G33" t="inlineStr">
        <is>
          <t>captured</t>
        </is>
      </c>
      <c r="H33" t="n">
        <v>17</v>
      </c>
      <c r="I33" s="4">
        <f>INT(D33)</f>
        <v/>
      </c>
      <c r="J33">
        <f>IFERROR(VLOOKUP(C33,Merchants!$A$2:$D$41,2,FALSE),"Merchant not found")</f>
        <v/>
      </c>
      <c r="K33">
        <f>IFERROR(VLOOKUP(C33,Merchants!$A$2:$D$41,3,FALSE),"Merchant not found")</f>
        <v/>
      </c>
      <c r="L33">
        <f>IFERROR(VLOOKUP(C33,Merchants!$A$2:$D$41,4,FALSE),"Merchant not found")</f>
        <v/>
      </c>
      <c r="M33" s="5">
        <f>HLOOKUP(F33,Fee_Reference!$B$1:$E$2,2,FALSE)</f>
        <v/>
      </c>
      <c r="N33">
        <f>SUMIFS($E$2:$E$548,$C$2:$C$548,C33,$I$2:$I$548,I33)</f>
        <v/>
      </c>
      <c r="O33">
        <f>IF(J33="Merchant not found","Merchant not found",IF(AND(N33&gt;5000,L33&lt;&gt;"East"),"High-Value Merchant Day","Normal Merchant Day"))</f>
        <v/>
      </c>
    </row>
    <row r="34">
      <c r="A34" t="inlineStr">
        <is>
          <t>TXN100032</t>
        </is>
      </c>
      <c r="B34" t="n">
        <v>272</v>
      </c>
      <c r="C34" t="n">
        <v>36</v>
      </c>
      <c r="D34" s="3" t="n">
        <v>46048.6125</v>
      </c>
      <c r="E34" t="n">
        <v>149</v>
      </c>
      <c r="F34" t="inlineStr">
        <is>
          <t>UPI</t>
        </is>
      </c>
      <c r="G34" t="inlineStr">
        <is>
          <t>captured</t>
        </is>
      </c>
      <c r="H34" t="n">
        <v>76</v>
      </c>
      <c r="I34" s="4">
        <f>INT(D34)</f>
        <v/>
      </c>
      <c r="J34">
        <f>IFERROR(VLOOKUP(C34,Merchants!$A$2:$D$41,2,FALSE),"Merchant not found")</f>
        <v/>
      </c>
      <c r="K34">
        <f>IFERROR(VLOOKUP(C34,Merchants!$A$2:$D$41,3,FALSE),"Merchant not found")</f>
        <v/>
      </c>
      <c r="L34">
        <f>IFERROR(VLOOKUP(C34,Merchants!$A$2:$D$41,4,FALSE),"Merchant not found")</f>
        <v/>
      </c>
      <c r="M34" s="5">
        <f>HLOOKUP(F34,Fee_Reference!$B$1:$E$2,2,FALSE)</f>
        <v/>
      </c>
      <c r="N34">
        <f>SUMIFS($E$2:$E$548,$C$2:$C$548,C34,$I$2:$I$548,I34)</f>
        <v/>
      </c>
      <c r="O34">
        <f>IF(J34="Merchant not found","Merchant not found",IF(AND(N34&gt;5000,L34&lt;&gt;"East"),"High-Value Merchant Day","Normal Merchant Day"))</f>
        <v/>
      </c>
    </row>
    <row r="35">
      <c r="A35" t="inlineStr">
        <is>
          <t>TXN100033</t>
        </is>
      </c>
      <c r="B35" t="n">
        <v>259</v>
      </c>
      <c r="C35" t="n">
        <v>28</v>
      </c>
      <c r="D35" s="3" t="n">
        <v>46033.61041666667</v>
      </c>
      <c r="E35" t="n">
        <v>49</v>
      </c>
      <c r="F35" t="inlineStr">
        <is>
          <t>Wallet</t>
        </is>
      </c>
      <c r="G35" t="inlineStr">
        <is>
          <t>captured</t>
        </is>
      </c>
      <c r="H35" t="n">
        <v>70</v>
      </c>
      <c r="I35" s="4">
        <f>INT(D35)</f>
        <v/>
      </c>
      <c r="J35">
        <f>IFERROR(VLOOKUP(C35,Merchants!$A$2:$D$41,2,FALSE),"Merchant not found")</f>
        <v/>
      </c>
      <c r="K35">
        <f>IFERROR(VLOOKUP(C35,Merchants!$A$2:$D$41,3,FALSE),"Merchant not found")</f>
        <v/>
      </c>
      <c r="L35">
        <f>IFERROR(VLOOKUP(C35,Merchants!$A$2:$D$41,4,FALSE),"Merchant not found")</f>
        <v/>
      </c>
      <c r="M35" s="5">
        <f>HLOOKUP(F35,Fee_Reference!$B$1:$E$2,2,FALSE)</f>
        <v/>
      </c>
      <c r="N35">
        <f>SUMIFS($E$2:$E$548,$C$2:$C$548,C35,$I$2:$I$548,I35)</f>
        <v/>
      </c>
      <c r="O35">
        <f>IF(J35="Merchant not found","Merchant not found",IF(AND(N35&gt;5000,L35&lt;&gt;"East"),"High-Value Merchant Day","Normal Merchant Day"))</f>
        <v/>
      </c>
    </row>
    <row r="36">
      <c r="A36" t="inlineStr">
        <is>
          <t>TXN100034</t>
        </is>
      </c>
      <c r="B36" t="n">
        <v>244</v>
      </c>
      <c r="C36" t="n">
        <v>29</v>
      </c>
      <c r="D36" s="3" t="n">
        <v>46037.24097222222</v>
      </c>
      <c r="E36" t="n">
        <v>299</v>
      </c>
      <c r="F36" t="inlineStr">
        <is>
          <t>Netbanking</t>
        </is>
      </c>
      <c r="G36" t="inlineStr">
        <is>
          <t>captured</t>
        </is>
      </c>
      <c r="H36" t="n">
        <v>33</v>
      </c>
      <c r="I36" s="4">
        <f>INT(D36)</f>
        <v/>
      </c>
      <c r="J36">
        <f>IFERROR(VLOOKUP(C36,Merchants!$A$2:$D$41,2,FALSE),"Merchant not found")</f>
        <v/>
      </c>
      <c r="K36">
        <f>IFERROR(VLOOKUP(C36,Merchants!$A$2:$D$41,3,FALSE),"Merchant not found")</f>
        <v/>
      </c>
      <c r="L36">
        <f>IFERROR(VLOOKUP(C36,Merchants!$A$2:$D$41,4,FALSE),"Merchant not found")</f>
        <v/>
      </c>
      <c r="M36" s="5">
        <f>HLOOKUP(F36,Fee_Reference!$B$1:$E$2,2,FALSE)</f>
        <v/>
      </c>
      <c r="N36">
        <f>SUMIFS($E$2:$E$548,$C$2:$C$548,C36,$I$2:$I$548,I36)</f>
        <v/>
      </c>
      <c r="O36">
        <f>IF(J36="Merchant not found","Merchant not found",IF(AND(N36&gt;5000,L36&lt;&gt;"East"),"High-Value Merchant Day","Normal Merchant Day"))</f>
        <v/>
      </c>
    </row>
    <row r="37">
      <c r="A37" t="inlineStr">
        <is>
          <t>TXN100035</t>
        </is>
      </c>
      <c r="B37" t="n">
        <v>327</v>
      </c>
      <c r="C37" t="n">
        <v>18</v>
      </c>
      <c r="D37" s="3" t="n">
        <v>46047.32847222222</v>
      </c>
      <c r="E37" t="n">
        <v>149</v>
      </c>
      <c r="F37" t="inlineStr">
        <is>
          <t>Card</t>
        </is>
      </c>
      <c r="G37" t="inlineStr">
        <is>
          <t>captured</t>
        </is>
      </c>
      <c r="H37" t="n">
        <v>98</v>
      </c>
      <c r="I37" s="4">
        <f>INT(D37)</f>
        <v/>
      </c>
      <c r="J37">
        <f>IFERROR(VLOOKUP(C37,Merchants!$A$2:$D$41,2,FALSE),"Merchant not found")</f>
        <v/>
      </c>
      <c r="K37">
        <f>IFERROR(VLOOKUP(C37,Merchants!$A$2:$D$41,3,FALSE),"Merchant not found")</f>
        <v/>
      </c>
      <c r="L37">
        <f>IFERROR(VLOOKUP(C37,Merchants!$A$2:$D$41,4,FALSE),"Merchant not found")</f>
        <v/>
      </c>
      <c r="M37" s="5">
        <f>HLOOKUP(F37,Fee_Reference!$B$1:$E$2,2,FALSE)</f>
        <v/>
      </c>
      <c r="N37">
        <f>SUMIFS($E$2:$E$548,$C$2:$C$548,C37,$I$2:$I$548,I37)</f>
        <v/>
      </c>
      <c r="O37">
        <f>IF(J37="Merchant not found","Merchant not found",IF(AND(N37&gt;5000,L37&lt;&gt;"East"),"High-Value Merchant Day","Normal Merchant Day"))</f>
        <v/>
      </c>
    </row>
    <row r="38">
      <c r="A38" t="inlineStr">
        <is>
          <t>TXN100036</t>
        </is>
      </c>
      <c r="B38" t="n">
        <v>321</v>
      </c>
      <c r="C38" t="n">
        <v>16</v>
      </c>
      <c r="D38" s="3" t="n">
        <v>46047.68819444445</v>
      </c>
      <c r="E38" t="n">
        <v>49</v>
      </c>
      <c r="F38" t="inlineStr">
        <is>
          <t>UPI</t>
        </is>
      </c>
      <c r="G38" t="inlineStr">
        <is>
          <t>captured</t>
        </is>
      </c>
      <c r="H38" t="n">
        <v>35</v>
      </c>
      <c r="I38" s="4">
        <f>INT(D38)</f>
        <v/>
      </c>
      <c r="J38">
        <f>IFERROR(VLOOKUP(C38,Merchants!$A$2:$D$41,2,FALSE),"Merchant not found")</f>
        <v/>
      </c>
      <c r="K38">
        <f>IFERROR(VLOOKUP(C38,Merchants!$A$2:$D$41,3,FALSE),"Merchant not found")</f>
        <v/>
      </c>
      <c r="L38">
        <f>IFERROR(VLOOKUP(C38,Merchants!$A$2:$D$41,4,FALSE),"Merchant not found")</f>
        <v/>
      </c>
      <c r="M38" s="5">
        <f>HLOOKUP(F38,Fee_Reference!$B$1:$E$2,2,FALSE)</f>
        <v/>
      </c>
      <c r="N38">
        <f>SUMIFS($E$2:$E$548,$C$2:$C$548,C38,$I$2:$I$548,I38)</f>
        <v/>
      </c>
      <c r="O38">
        <f>IF(J38="Merchant not found","Merchant not found",IF(AND(N38&gt;5000,L38&lt;&gt;"East"),"High-Value Merchant Day","Normal Merchant Day"))</f>
        <v/>
      </c>
    </row>
    <row r="39">
      <c r="A39" t="inlineStr">
        <is>
          <t>TXN100037</t>
        </is>
      </c>
      <c r="B39" t="n">
        <v>147</v>
      </c>
      <c r="C39" t="n">
        <v>16</v>
      </c>
      <c r="D39" s="3" t="n">
        <v>46037.11458333334</v>
      </c>
      <c r="E39" t="n">
        <v>2999</v>
      </c>
      <c r="F39" t="inlineStr">
        <is>
          <t>Card</t>
        </is>
      </c>
      <c r="G39" t="inlineStr">
        <is>
          <t>captured</t>
        </is>
      </c>
      <c r="H39" t="n">
        <v>34</v>
      </c>
      <c r="I39" s="4">
        <f>INT(D39)</f>
        <v/>
      </c>
      <c r="J39">
        <f>IFERROR(VLOOKUP(C39,Merchants!$A$2:$D$41,2,FALSE),"Merchant not found")</f>
        <v/>
      </c>
      <c r="K39">
        <f>IFERROR(VLOOKUP(C39,Merchants!$A$2:$D$41,3,FALSE),"Merchant not found")</f>
        <v/>
      </c>
      <c r="L39">
        <f>IFERROR(VLOOKUP(C39,Merchants!$A$2:$D$41,4,FALSE),"Merchant not found")</f>
        <v/>
      </c>
      <c r="M39" s="5">
        <f>HLOOKUP(F39,Fee_Reference!$B$1:$E$2,2,FALSE)</f>
        <v/>
      </c>
      <c r="N39">
        <f>SUMIFS($E$2:$E$548,$C$2:$C$548,C39,$I$2:$I$548,I39)</f>
        <v/>
      </c>
      <c r="O39">
        <f>IF(J39="Merchant not found","Merchant not found",IF(AND(N39&gt;5000,L39&lt;&gt;"East"),"High-Value Merchant Day","Normal Merchant Day"))</f>
        <v/>
      </c>
    </row>
    <row r="40">
      <c r="A40" t="inlineStr">
        <is>
          <t>TXN100038</t>
        </is>
      </c>
      <c r="B40" t="n">
        <v>277</v>
      </c>
      <c r="C40" t="n">
        <v>6</v>
      </c>
      <c r="D40" s="3" t="n">
        <v>46033.45625</v>
      </c>
      <c r="E40" t="n">
        <v>1499</v>
      </c>
      <c r="F40" t="inlineStr">
        <is>
          <t>Card</t>
        </is>
      </c>
      <c r="G40" t="inlineStr">
        <is>
          <t>captured</t>
        </is>
      </c>
      <c r="H40" t="n">
        <v>17</v>
      </c>
      <c r="I40" s="4">
        <f>INT(D40)</f>
        <v/>
      </c>
      <c r="J40">
        <f>IFERROR(VLOOKUP(C40,Merchants!$A$2:$D$41,2,FALSE),"Merchant not found")</f>
        <v/>
      </c>
      <c r="K40">
        <f>IFERROR(VLOOKUP(C40,Merchants!$A$2:$D$41,3,FALSE),"Merchant not found")</f>
        <v/>
      </c>
      <c r="L40">
        <f>IFERROR(VLOOKUP(C40,Merchants!$A$2:$D$41,4,FALSE),"Merchant not found")</f>
        <v/>
      </c>
      <c r="M40" s="5">
        <f>HLOOKUP(F40,Fee_Reference!$B$1:$E$2,2,FALSE)</f>
        <v/>
      </c>
      <c r="N40">
        <f>SUMIFS($E$2:$E$548,$C$2:$C$548,C40,$I$2:$I$548,I40)</f>
        <v/>
      </c>
      <c r="O40">
        <f>IF(J40="Merchant not found","Merchant not found",IF(AND(N40&gt;5000,L40&lt;&gt;"East"),"High-Value Merchant Day","Normal Merchant Day"))</f>
        <v/>
      </c>
    </row>
    <row r="41">
      <c r="A41" t="inlineStr">
        <is>
          <t>TXN100039</t>
        </is>
      </c>
      <c r="B41" t="n">
        <v>79</v>
      </c>
      <c r="C41" t="n">
        <v>14</v>
      </c>
      <c r="D41" s="3" t="n">
        <v>46027.30833333333</v>
      </c>
      <c r="E41" t="n">
        <v>1499</v>
      </c>
      <c r="F41" t="inlineStr">
        <is>
          <t>UPI</t>
        </is>
      </c>
      <c r="G41" t="inlineStr">
        <is>
          <t>captured</t>
        </is>
      </c>
      <c r="H41" t="n">
        <v>8</v>
      </c>
      <c r="I41" s="4">
        <f>INT(D41)</f>
        <v/>
      </c>
      <c r="J41">
        <f>IFERROR(VLOOKUP(C41,Merchants!$A$2:$D$41,2,FALSE),"Merchant not found")</f>
        <v/>
      </c>
      <c r="K41">
        <f>IFERROR(VLOOKUP(C41,Merchants!$A$2:$D$41,3,FALSE),"Merchant not found")</f>
        <v/>
      </c>
      <c r="L41">
        <f>IFERROR(VLOOKUP(C41,Merchants!$A$2:$D$41,4,FALSE),"Merchant not found")</f>
        <v/>
      </c>
      <c r="M41" s="5">
        <f>HLOOKUP(F41,Fee_Reference!$B$1:$E$2,2,FALSE)</f>
        <v/>
      </c>
      <c r="N41">
        <f>SUMIFS($E$2:$E$548,$C$2:$C$548,C41,$I$2:$I$548,I41)</f>
        <v/>
      </c>
      <c r="O41">
        <f>IF(J41="Merchant not found","Merchant not found",IF(AND(N41&gt;5000,L41&lt;&gt;"East"),"High-Value Merchant Day","Normal Merchant Day"))</f>
        <v/>
      </c>
    </row>
    <row r="42">
      <c r="A42" t="inlineStr">
        <is>
          <t>TXN100040</t>
        </is>
      </c>
      <c r="B42" t="n">
        <v>278</v>
      </c>
      <c r="C42" t="n">
        <v>30</v>
      </c>
      <c r="D42" s="3" t="n">
        <v>46036.55625</v>
      </c>
      <c r="E42" t="n">
        <v>1499</v>
      </c>
      <c r="F42" t="inlineStr">
        <is>
          <t>UPI</t>
        </is>
      </c>
      <c r="G42" t="inlineStr">
        <is>
          <t>captured</t>
        </is>
      </c>
      <c r="H42" t="n">
        <v>53</v>
      </c>
      <c r="I42" s="4">
        <f>INT(D42)</f>
        <v/>
      </c>
      <c r="J42">
        <f>IFERROR(VLOOKUP(C42,Merchants!$A$2:$D$41,2,FALSE),"Merchant not found")</f>
        <v/>
      </c>
      <c r="K42">
        <f>IFERROR(VLOOKUP(C42,Merchants!$A$2:$D$41,3,FALSE),"Merchant not found")</f>
        <v/>
      </c>
      <c r="L42">
        <f>IFERROR(VLOOKUP(C42,Merchants!$A$2:$D$41,4,FALSE),"Merchant not found")</f>
        <v/>
      </c>
      <c r="M42" s="5">
        <f>HLOOKUP(F42,Fee_Reference!$B$1:$E$2,2,FALSE)</f>
        <v/>
      </c>
      <c r="N42">
        <f>SUMIFS($E$2:$E$548,$C$2:$C$548,C42,$I$2:$I$548,I42)</f>
        <v/>
      </c>
      <c r="O42">
        <f>IF(J42="Merchant not found","Merchant not found",IF(AND(N42&gt;5000,L42&lt;&gt;"East"),"High-Value Merchant Day","Normal Merchant Day"))</f>
        <v/>
      </c>
    </row>
    <row r="43">
      <c r="A43" t="inlineStr">
        <is>
          <t>TXN100041</t>
        </is>
      </c>
      <c r="B43" t="n">
        <v>216</v>
      </c>
      <c r="C43" t="n">
        <v>25</v>
      </c>
      <c r="D43" s="3" t="n">
        <v>46024.28680555556</v>
      </c>
      <c r="E43" t="n">
        <v>99</v>
      </c>
      <c r="F43" t="inlineStr">
        <is>
          <t>UPI</t>
        </is>
      </c>
      <c r="G43" t="inlineStr">
        <is>
          <t>captured</t>
        </is>
      </c>
      <c r="H43" t="n">
        <v>98</v>
      </c>
      <c r="I43" s="4">
        <f>INT(D43)</f>
        <v/>
      </c>
      <c r="J43">
        <f>IFERROR(VLOOKUP(C43,Merchants!$A$2:$D$41,2,FALSE),"Merchant not found")</f>
        <v/>
      </c>
      <c r="K43">
        <f>IFERROR(VLOOKUP(C43,Merchants!$A$2:$D$41,3,FALSE),"Merchant not found")</f>
        <v/>
      </c>
      <c r="L43">
        <f>IFERROR(VLOOKUP(C43,Merchants!$A$2:$D$41,4,FALSE),"Merchant not found")</f>
        <v/>
      </c>
      <c r="M43" s="5">
        <f>HLOOKUP(F43,Fee_Reference!$B$1:$E$2,2,FALSE)</f>
        <v/>
      </c>
      <c r="N43">
        <f>SUMIFS($E$2:$E$548,$C$2:$C$548,C43,$I$2:$I$548,I43)</f>
        <v/>
      </c>
      <c r="O43">
        <f>IF(J43="Merchant not found","Merchant not found",IF(AND(N43&gt;5000,L43&lt;&gt;"East"),"High-Value Merchant Day","Normal Merchant Day"))</f>
        <v/>
      </c>
    </row>
    <row r="44">
      <c r="A44" t="inlineStr">
        <is>
          <t>TXN100042</t>
        </is>
      </c>
      <c r="B44" t="n">
        <v>295</v>
      </c>
      <c r="C44" t="n">
        <v>25</v>
      </c>
      <c r="D44" s="3" t="n">
        <v>46041.91736111111</v>
      </c>
      <c r="E44" t="n">
        <v>1499</v>
      </c>
      <c r="F44" t="inlineStr">
        <is>
          <t>UPI</t>
        </is>
      </c>
      <c r="G44" t="inlineStr">
        <is>
          <t>captured</t>
        </is>
      </c>
      <c r="H44" t="n">
        <v>61</v>
      </c>
      <c r="I44" s="4">
        <f>INT(D44)</f>
        <v/>
      </c>
      <c r="J44">
        <f>IFERROR(VLOOKUP(C44,Merchants!$A$2:$D$41,2,FALSE),"Merchant not found")</f>
        <v/>
      </c>
      <c r="K44">
        <f>IFERROR(VLOOKUP(C44,Merchants!$A$2:$D$41,3,FALSE),"Merchant not found")</f>
        <v/>
      </c>
      <c r="L44">
        <f>IFERROR(VLOOKUP(C44,Merchants!$A$2:$D$41,4,FALSE),"Merchant not found")</f>
        <v/>
      </c>
      <c r="M44" s="5">
        <f>HLOOKUP(F44,Fee_Reference!$B$1:$E$2,2,FALSE)</f>
        <v/>
      </c>
      <c r="N44">
        <f>SUMIFS($E$2:$E$548,$C$2:$C$548,C44,$I$2:$I$548,I44)</f>
        <v/>
      </c>
      <c r="O44">
        <f>IF(J44="Merchant not found","Merchant not found",IF(AND(N44&gt;5000,L44&lt;&gt;"East"),"High-Value Merchant Day","Normal Merchant Day"))</f>
        <v/>
      </c>
    </row>
    <row r="45">
      <c r="A45" t="inlineStr">
        <is>
          <t>TXN100043</t>
        </is>
      </c>
      <c r="B45" t="n">
        <v>200</v>
      </c>
      <c r="C45" t="n">
        <v>27</v>
      </c>
      <c r="D45" s="3" t="n">
        <v>46023.47152777778</v>
      </c>
      <c r="E45" t="n">
        <v>149</v>
      </c>
      <c r="F45" t="inlineStr">
        <is>
          <t>UPI</t>
        </is>
      </c>
      <c r="G45" t="inlineStr">
        <is>
          <t>captured</t>
        </is>
      </c>
      <c r="H45" t="n">
        <v>68</v>
      </c>
      <c r="I45" s="4">
        <f>INT(D45)</f>
        <v/>
      </c>
      <c r="J45">
        <f>IFERROR(VLOOKUP(C45,Merchants!$A$2:$D$41,2,FALSE),"Merchant not found")</f>
        <v/>
      </c>
      <c r="K45">
        <f>IFERROR(VLOOKUP(C45,Merchants!$A$2:$D$41,3,FALSE),"Merchant not found")</f>
        <v/>
      </c>
      <c r="L45">
        <f>IFERROR(VLOOKUP(C45,Merchants!$A$2:$D$41,4,FALSE),"Merchant not found")</f>
        <v/>
      </c>
      <c r="M45" s="5">
        <f>HLOOKUP(F45,Fee_Reference!$B$1:$E$2,2,FALSE)</f>
        <v/>
      </c>
      <c r="N45">
        <f>SUMIFS($E$2:$E$548,$C$2:$C$548,C45,$I$2:$I$548,I45)</f>
        <v/>
      </c>
      <c r="O45">
        <f>IF(J45="Merchant not found","Merchant not found",IF(AND(N45&gt;5000,L45&lt;&gt;"East"),"High-Value Merchant Day","Normal Merchant Day"))</f>
        <v/>
      </c>
    </row>
    <row r="46">
      <c r="A46" t="inlineStr">
        <is>
          <t>TXN100044</t>
        </is>
      </c>
      <c r="B46" t="n">
        <v>309</v>
      </c>
      <c r="C46" t="n">
        <v>15</v>
      </c>
      <c r="D46" s="3" t="n">
        <v>46046.98194444444</v>
      </c>
      <c r="E46" t="n">
        <v>99</v>
      </c>
      <c r="F46" t="inlineStr">
        <is>
          <t>Netbanking</t>
        </is>
      </c>
      <c r="G46" t="inlineStr">
        <is>
          <t>captured</t>
        </is>
      </c>
      <c r="H46" t="n">
        <v>62</v>
      </c>
      <c r="I46" s="4">
        <f>INT(D46)</f>
        <v/>
      </c>
      <c r="J46">
        <f>IFERROR(VLOOKUP(C46,Merchants!$A$2:$D$41,2,FALSE),"Merchant not found")</f>
        <v/>
      </c>
      <c r="K46">
        <f>IFERROR(VLOOKUP(C46,Merchants!$A$2:$D$41,3,FALSE),"Merchant not found")</f>
        <v/>
      </c>
      <c r="L46">
        <f>IFERROR(VLOOKUP(C46,Merchants!$A$2:$D$41,4,FALSE),"Merchant not found")</f>
        <v/>
      </c>
      <c r="M46" s="5">
        <f>HLOOKUP(F46,Fee_Reference!$B$1:$E$2,2,FALSE)</f>
        <v/>
      </c>
      <c r="N46">
        <f>SUMIFS($E$2:$E$548,$C$2:$C$548,C46,$I$2:$I$548,I46)</f>
        <v/>
      </c>
      <c r="O46">
        <f>IF(J46="Merchant not found","Merchant not found",IF(AND(N46&gt;5000,L46&lt;&gt;"East"),"High-Value Merchant Day","Normal Merchant Day"))</f>
        <v/>
      </c>
    </row>
    <row r="47">
      <c r="A47" t="inlineStr">
        <is>
          <t>TXN100045</t>
        </is>
      </c>
      <c r="B47" t="n">
        <v>249</v>
      </c>
      <c r="C47" t="n">
        <v>2</v>
      </c>
      <c r="D47" s="3" t="n">
        <v>46030.35208333333</v>
      </c>
      <c r="E47" t="n">
        <v>299</v>
      </c>
      <c r="F47" t="inlineStr">
        <is>
          <t>Wallet</t>
        </is>
      </c>
      <c r="G47" t="inlineStr">
        <is>
          <t>captured</t>
        </is>
      </c>
      <c r="H47" t="n">
        <v>49</v>
      </c>
      <c r="I47" s="4">
        <f>INT(D47)</f>
        <v/>
      </c>
      <c r="J47">
        <f>IFERROR(VLOOKUP(C47,Merchants!$A$2:$D$41,2,FALSE),"Merchant not found")</f>
        <v/>
      </c>
      <c r="K47">
        <f>IFERROR(VLOOKUP(C47,Merchants!$A$2:$D$41,3,FALSE),"Merchant not found")</f>
        <v/>
      </c>
      <c r="L47">
        <f>IFERROR(VLOOKUP(C47,Merchants!$A$2:$D$41,4,FALSE),"Merchant not found")</f>
        <v/>
      </c>
      <c r="M47" s="5">
        <f>HLOOKUP(F47,Fee_Reference!$B$1:$E$2,2,FALSE)</f>
        <v/>
      </c>
      <c r="N47">
        <f>SUMIFS($E$2:$E$548,$C$2:$C$548,C47,$I$2:$I$548,I47)</f>
        <v/>
      </c>
      <c r="O47">
        <f>IF(J47="Merchant not found","Merchant not found",IF(AND(N47&gt;5000,L47&lt;&gt;"East"),"High-Value Merchant Day","Normal Merchant Day"))</f>
        <v/>
      </c>
    </row>
    <row r="48">
      <c r="A48" t="inlineStr">
        <is>
          <t>TXN100046</t>
        </is>
      </c>
      <c r="B48" t="n">
        <v>208</v>
      </c>
      <c r="C48" t="n">
        <v>11</v>
      </c>
      <c r="D48" s="3" t="n">
        <v>46033.90486111111</v>
      </c>
      <c r="E48" t="n">
        <v>4999</v>
      </c>
      <c r="F48" t="inlineStr">
        <is>
          <t>Netbanking</t>
        </is>
      </c>
      <c r="G48" t="inlineStr">
        <is>
          <t>captured</t>
        </is>
      </c>
      <c r="H48" t="n">
        <v>59</v>
      </c>
      <c r="I48" s="4">
        <f>INT(D48)</f>
        <v/>
      </c>
      <c r="J48">
        <f>IFERROR(VLOOKUP(C48,Merchants!$A$2:$D$41,2,FALSE),"Merchant not found")</f>
        <v/>
      </c>
      <c r="K48">
        <f>IFERROR(VLOOKUP(C48,Merchants!$A$2:$D$41,3,FALSE),"Merchant not found")</f>
        <v/>
      </c>
      <c r="L48">
        <f>IFERROR(VLOOKUP(C48,Merchants!$A$2:$D$41,4,FALSE),"Merchant not found")</f>
        <v/>
      </c>
      <c r="M48" s="5">
        <f>HLOOKUP(F48,Fee_Reference!$B$1:$E$2,2,FALSE)</f>
        <v/>
      </c>
      <c r="N48">
        <f>SUMIFS($E$2:$E$548,$C$2:$C$548,C48,$I$2:$I$548,I48)</f>
        <v/>
      </c>
      <c r="O48">
        <f>IF(J48="Merchant not found","Merchant not found",IF(AND(N48&gt;5000,L48&lt;&gt;"East"),"High-Value Merchant Day","Normal Merchant Day"))</f>
        <v/>
      </c>
    </row>
    <row r="49">
      <c r="A49" t="inlineStr">
        <is>
          <t>TXN100047</t>
        </is>
      </c>
      <c r="B49" t="n">
        <v>274</v>
      </c>
      <c r="C49" t="n">
        <v>2</v>
      </c>
      <c r="D49" s="3" t="n">
        <v>46052.19375</v>
      </c>
      <c r="E49" t="n">
        <v>299</v>
      </c>
      <c r="F49" t="inlineStr">
        <is>
          <t>UPI</t>
        </is>
      </c>
      <c r="G49" t="inlineStr">
        <is>
          <t>captured</t>
        </is>
      </c>
      <c r="H49" t="n">
        <v>50</v>
      </c>
      <c r="I49" s="4">
        <f>INT(D49)</f>
        <v/>
      </c>
      <c r="J49">
        <f>IFERROR(VLOOKUP(C49,Merchants!$A$2:$D$41,2,FALSE),"Merchant not found")</f>
        <v/>
      </c>
      <c r="K49">
        <f>IFERROR(VLOOKUP(C49,Merchants!$A$2:$D$41,3,FALSE),"Merchant not found")</f>
        <v/>
      </c>
      <c r="L49">
        <f>IFERROR(VLOOKUP(C49,Merchants!$A$2:$D$41,4,FALSE),"Merchant not found")</f>
        <v/>
      </c>
      <c r="M49" s="5">
        <f>HLOOKUP(F49,Fee_Reference!$B$1:$E$2,2,FALSE)</f>
        <v/>
      </c>
      <c r="N49">
        <f>SUMIFS($E$2:$E$548,$C$2:$C$548,C49,$I$2:$I$548,I49)</f>
        <v/>
      </c>
      <c r="O49">
        <f>IF(J49="Merchant not found","Merchant not found",IF(AND(N49&gt;5000,L49&lt;&gt;"East"),"High-Value Merchant Day","Normal Merchant Day"))</f>
        <v/>
      </c>
    </row>
    <row r="50">
      <c r="A50" t="inlineStr">
        <is>
          <t>TXN100048</t>
        </is>
      </c>
      <c r="B50" t="n">
        <v>14</v>
      </c>
      <c r="C50" t="n">
        <v>6</v>
      </c>
      <c r="D50" s="3" t="n">
        <v>46041.77916666667</v>
      </c>
      <c r="E50" t="n">
        <v>49</v>
      </c>
      <c r="F50" t="inlineStr">
        <is>
          <t>Wallet</t>
        </is>
      </c>
      <c r="G50" t="inlineStr">
        <is>
          <t>captured</t>
        </is>
      </c>
      <c r="H50" t="n">
        <v>82</v>
      </c>
      <c r="I50" s="4">
        <f>INT(D50)</f>
        <v/>
      </c>
      <c r="J50">
        <f>IFERROR(VLOOKUP(C50,Merchants!$A$2:$D$41,2,FALSE),"Merchant not found")</f>
        <v/>
      </c>
      <c r="K50">
        <f>IFERROR(VLOOKUP(C50,Merchants!$A$2:$D$41,3,FALSE),"Merchant not found")</f>
        <v/>
      </c>
      <c r="L50">
        <f>IFERROR(VLOOKUP(C50,Merchants!$A$2:$D$41,4,FALSE),"Merchant not found")</f>
        <v/>
      </c>
      <c r="M50" s="5">
        <f>HLOOKUP(F50,Fee_Reference!$B$1:$E$2,2,FALSE)</f>
        <v/>
      </c>
      <c r="N50">
        <f>SUMIFS($E$2:$E$548,$C$2:$C$548,C50,$I$2:$I$548,I50)</f>
        <v/>
      </c>
      <c r="O50">
        <f>IF(J50="Merchant not found","Merchant not found",IF(AND(N50&gt;5000,L50&lt;&gt;"East"),"High-Value Merchant Day","Normal Merchant Day"))</f>
        <v/>
      </c>
    </row>
    <row r="51">
      <c r="A51" t="inlineStr">
        <is>
          <t>TXN100049</t>
        </is>
      </c>
      <c r="B51" t="n">
        <v>237</v>
      </c>
      <c r="C51" t="n">
        <v>12</v>
      </c>
      <c r="D51" s="3" t="n">
        <v>46036.20486111111</v>
      </c>
      <c r="E51" t="n">
        <v>49</v>
      </c>
      <c r="F51" t="inlineStr">
        <is>
          <t>UPI</t>
        </is>
      </c>
      <c r="G51" t="inlineStr">
        <is>
          <t>captured</t>
        </is>
      </c>
      <c r="H51" t="n">
        <v>6</v>
      </c>
      <c r="I51" s="4">
        <f>INT(D51)</f>
        <v/>
      </c>
      <c r="J51">
        <f>IFERROR(VLOOKUP(C51,Merchants!$A$2:$D$41,2,FALSE),"Merchant not found")</f>
        <v/>
      </c>
      <c r="K51">
        <f>IFERROR(VLOOKUP(C51,Merchants!$A$2:$D$41,3,FALSE),"Merchant not found")</f>
        <v/>
      </c>
      <c r="L51">
        <f>IFERROR(VLOOKUP(C51,Merchants!$A$2:$D$41,4,FALSE),"Merchant not found")</f>
        <v/>
      </c>
      <c r="M51" s="5">
        <f>HLOOKUP(F51,Fee_Reference!$B$1:$E$2,2,FALSE)</f>
        <v/>
      </c>
      <c r="N51">
        <f>SUMIFS($E$2:$E$548,$C$2:$C$548,C51,$I$2:$I$548,I51)</f>
        <v/>
      </c>
      <c r="O51">
        <f>IF(J51="Merchant not found","Merchant not found",IF(AND(N51&gt;5000,L51&lt;&gt;"East"),"High-Value Merchant Day","Normal Merchant Day"))</f>
        <v/>
      </c>
    </row>
    <row r="52">
      <c r="A52" t="inlineStr">
        <is>
          <t>TXN100050</t>
        </is>
      </c>
      <c r="B52" t="n">
        <v>109</v>
      </c>
      <c r="C52" t="n">
        <v>30</v>
      </c>
      <c r="D52" s="3" t="n">
        <v>46031.51388888889</v>
      </c>
      <c r="E52" t="n">
        <v>99</v>
      </c>
      <c r="F52" t="inlineStr">
        <is>
          <t>UPI</t>
        </is>
      </c>
      <c r="G52" t="inlineStr">
        <is>
          <t>captured</t>
        </is>
      </c>
      <c r="H52" t="n">
        <v>41</v>
      </c>
      <c r="I52" s="4">
        <f>INT(D52)</f>
        <v/>
      </c>
      <c r="J52">
        <f>IFERROR(VLOOKUP(C52,Merchants!$A$2:$D$41,2,FALSE),"Merchant not found")</f>
        <v/>
      </c>
      <c r="K52">
        <f>IFERROR(VLOOKUP(C52,Merchants!$A$2:$D$41,3,FALSE),"Merchant not found")</f>
        <v/>
      </c>
      <c r="L52">
        <f>IFERROR(VLOOKUP(C52,Merchants!$A$2:$D$41,4,FALSE),"Merchant not found")</f>
        <v/>
      </c>
      <c r="M52" s="5">
        <f>HLOOKUP(F52,Fee_Reference!$B$1:$E$2,2,FALSE)</f>
        <v/>
      </c>
      <c r="N52">
        <f>SUMIFS($E$2:$E$548,$C$2:$C$548,C52,$I$2:$I$548,I52)</f>
        <v/>
      </c>
      <c r="O52">
        <f>IF(J52="Merchant not found","Merchant not found",IF(AND(N52&gt;5000,L52&lt;&gt;"East"),"High-Value Merchant Day","Normal Merchant Day"))</f>
        <v/>
      </c>
    </row>
    <row r="53">
      <c r="A53" t="inlineStr">
        <is>
          <t>TXN100051</t>
        </is>
      </c>
      <c r="B53" t="n">
        <v>216</v>
      </c>
      <c r="C53" t="n">
        <v>17</v>
      </c>
      <c r="D53" s="3" t="n">
        <v>46033.51180555556</v>
      </c>
      <c r="E53" t="n">
        <v>4999</v>
      </c>
      <c r="F53" t="inlineStr">
        <is>
          <t>UPI</t>
        </is>
      </c>
      <c r="G53" t="inlineStr">
        <is>
          <t>captured</t>
        </is>
      </c>
      <c r="H53" t="n">
        <v>10</v>
      </c>
      <c r="I53" s="4">
        <f>INT(D53)</f>
        <v/>
      </c>
      <c r="J53">
        <f>IFERROR(VLOOKUP(C53,Merchants!$A$2:$D$41,2,FALSE),"Merchant not found")</f>
        <v/>
      </c>
      <c r="K53">
        <f>IFERROR(VLOOKUP(C53,Merchants!$A$2:$D$41,3,FALSE),"Merchant not found")</f>
        <v/>
      </c>
      <c r="L53">
        <f>IFERROR(VLOOKUP(C53,Merchants!$A$2:$D$41,4,FALSE),"Merchant not found")</f>
        <v/>
      </c>
      <c r="M53" s="5">
        <f>HLOOKUP(F53,Fee_Reference!$B$1:$E$2,2,FALSE)</f>
        <v/>
      </c>
      <c r="N53">
        <f>SUMIFS($E$2:$E$548,$C$2:$C$548,C53,$I$2:$I$548,I53)</f>
        <v/>
      </c>
      <c r="O53">
        <f>IF(J53="Merchant not found","Merchant not found",IF(AND(N53&gt;5000,L53&lt;&gt;"East"),"High-Value Merchant Day","Normal Merchant Day"))</f>
        <v/>
      </c>
    </row>
    <row r="54">
      <c r="A54" t="inlineStr">
        <is>
          <t>TXN100052</t>
        </is>
      </c>
      <c r="B54" t="n">
        <v>277</v>
      </c>
      <c r="C54" t="n">
        <v>4</v>
      </c>
      <c r="D54" s="3" t="n">
        <v>46038.03263888889</v>
      </c>
      <c r="E54" t="n">
        <v>799</v>
      </c>
      <c r="F54" t="inlineStr">
        <is>
          <t>UPI</t>
        </is>
      </c>
      <c r="G54" t="inlineStr">
        <is>
          <t>captured</t>
        </is>
      </c>
      <c r="H54" t="n">
        <v>44</v>
      </c>
      <c r="I54" s="4">
        <f>INT(D54)</f>
        <v/>
      </c>
      <c r="J54">
        <f>IFERROR(VLOOKUP(C54,Merchants!$A$2:$D$41,2,FALSE),"Merchant not found")</f>
        <v/>
      </c>
      <c r="K54">
        <f>IFERROR(VLOOKUP(C54,Merchants!$A$2:$D$41,3,FALSE),"Merchant not found")</f>
        <v/>
      </c>
      <c r="L54">
        <f>IFERROR(VLOOKUP(C54,Merchants!$A$2:$D$41,4,FALSE),"Merchant not found")</f>
        <v/>
      </c>
      <c r="M54" s="5">
        <f>HLOOKUP(F54,Fee_Reference!$B$1:$E$2,2,FALSE)</f>
        <v/>
      </c>
      <c r="N54">
        <f>SUMIFS($E$2:$E$548,$C$2:$C$548,C54,$I$2:$I$548,I54)</f>
        <v/>
      </c>
      <c r="O54">
        <f>IF(J54="Merchant not found","Merchant not found",IF(AND(N54&gt;5000,L54&lt;&gt;"East"),"High-Value Merchant Day","Normal Merchant Day"))</f>
        <v/>
      </c>
    </row>
    <row r="55">
      <c r="A55" t="inlineStr">
        <is>
          <t>TXN100053</t>
        </is>
      </c>
      <c r="B55" t="n">
        <v>334</v>
      </c>
      <c r="C55" t="n">
        <v>3</v>
      </c>
      <c r="D55" s="3" t="n">
        <v>46030.83611111111</v>
      </c>
      <c r="E55" t="n">
        <v>149</v>
      </c>
      <c r="F55" t="inlineStr">
        <is>
          <t>Wallet</t>
        </is>
      </c>
      <c r="G55" t="inlineStr">
        <is>
          <t>captured</t>
        </is>
      </c>
      <c r="H55" t="n">
        <v>96</v>
      </c>
      <c r="I55" s="4">
        <f>INT(D55)</f>
        <v/>
      </c>
      <c r="J55">
        <f>IFERROR(VLOOKUP(C55,Merchants!$A$2:$D$41,2,FALSE),"Merchant not found")</f>
        <v/>
      </c>
      <c r="K55">
        <f>IFERROR(VLOOKUP(C55,Merchants!$A$2:$D$41,3,FALSE),"Merchant not found")</f>
        <v/>
      </c>
      <c r="L55">
        <f>IFERROR(VLOOKUP(C55,Merchants!$A$2:$D$41,4,FALSE),"Merchant not found")</f>
        <v/>
      </c>
      <c r="M55" s="5">
        <f>HLOOKUP(F55,Fee_Reference!$B$1:$E$2,2,FALSE)</f>
        <v/>
      </c>
      <c r="N55">
        <f>SUMIFS($E$2:$E$548,$C$2:$C$548,C55,$I$2:$I$548,I55)</f>
        <v/>
      </c>
      <c r="O55">
        <f>IF(J55="Merchant not found","Merchant not found",IF(AND(N55&gt;5000,L55&lt;&gt;"East"),"High-Value Merchant Day","Normal Merchant Day"))</f>
        <v/>
      </c>
    </row>
    <row r="56">
      <c r="A56" t="inlineStr">
        <is>
          <t>TXN100054</t>
        </is>
      </c>
      <c r="B56" t="n">
        <v>11</v>
      </c>
      <c r="C56" t="n">
        <v>40</v>
      </c>
      <c r="D56" s="3" t="n">
        <v>46023.3</v>
      </c>
      <c r="E56" t="n">
        <v>299</v>
      </c>
      <c r="F56" t="inlineStr">
        <is>
          <t>UPI</t>
        </is>
      </c>
      <c r="G56" t="inlineStr">
        <is>
          <t>captured</t>
        </is>
      </c>
      <c r="H56" t="n">
        <v>19</v>
      </c>
      <c r="I56" s="4">
        <f>INT(D56)</f>
        <v/>
      </c>
      <c r="J56">
        <f>IFERROR(VLOOKUP(C56,Merchants!$A$2:$D$41,2,FALSE),"Merchant not found")</f>
        <v/>
      </c>
      <c r="K56">
        <f>IFERROR(VLOOKUP(C56,Merchants!$A$2:$D$41,3,FALSE),"Merchant not found")</f>
        <v/>
      </c>
      <c r="L56">
        <f>IFERROR(VLOOKUP(C56,Merchants!$A$2:$D$41,4,FALSE),"Merchant not found")</f>
        <v/>
      </c>
      <c r="M56" s="5">
        <f>HLOOKUP(F56,Fee_Reference!$B$1:$E$2,2,FALSE)</f>
        <v/>
      </c>
      <c r="N56">
        <f>SUMIFS($E$2:$E$548,$C$2:$C$548,C56,$I$2:$I$548,I56)</f>
        <v/>
      </c>
      <c r="O56">
        <f>IF(J56="Merchant not found","Merchant not found",IF(AND(N56&gt;5000,L56&lt;&gt;"East"),"High-Value Merchant Day","Normal Merchant Day"))</f>
        <v/>
      </c>
    </row>
    <row r="57">
      <c r="A57" t="inlineStr">
        <is>
          <t>TXN100055</t>
        </is>
      </c>
      <c r="B57" t="n">
        <v>343</v>
      </c>
      <c r="C57" t="n">
        <v>8</v>
      </c>
      <c r="D57" s="3" t="n">
        <v>46030.1875</v>
      </c>
      <c r="E57" t="n">
        <v>99</v>
      </c>
      <c r="F57" t="inlineStr">
        <is>
          <t>UPI</t>
        </is>
      </c>
      <c r="G57" t="inlineStr">
        <is>
          <t>captured</t>
        </is>
      </c>
      <c r="H57" t="n">
        <v>72</v>
      </c>
      <c r="I57" s="4">
        <f>INT(D57)</f>
        <v/>
      </c>
      <c r="J57">
        <f>IFERROR(VLOOKUP(C57,Merchants!$A$2:$D$41,2,FALSE),"Merchant not found")</f>
        <v/>
      </c>
      <c r="K57">
        <f>IFERROR(VLOOKUP(C57,Merchants!$A$2:$D$41,3,FALSE),"Merchant not found")</f>
        <v/>
      </c>
      <c r="L57">
        <f>IFERROR(VLOOKUP(C57,Merchants!$A$2:$D$41,4,FALSE),"Merchant not found")</f>
        <v/>
      </c>
      <c r="M57" s="5">
        <f>HLOOKUP(F57,Fee_Reference!$B$1:$E$2,2,FALSE)</f>
        <v/>
      </c>
      <c r="N57">
        <f>SUMIFS($E$2:$E$548,$C$2:$C$548,C57,$I$2:$I$548,I57)</f>
        <v/>
      </c>
      <c r="O57">
        <f>IF(J57="Merchant not found","Merchant not found",IF(AND(N57&gt;5000,L57&lt;&gt;"East"),"High-Value Merchant Day","Normal Merchant Day"))</f>
        <v/>
      </c>
    </row>
    <row r="58">
      <c r="A58" t="inlineStr">
        <is>
          <t>TXN100056</t>
        </is>
      </c>
      <c r="B58" t="n">
        <v>132</v>
      </c>
      <c r="C58" t="n">
        <v>24</v>
      </c>
      <c r="D58" s="3" t="n">
        <v>46029.61388888889</v>
      </c>
      <c r="E58" t="n">
        <v>299</v>
      </c>
      <c r="F58" t="inlineStr">
        <is>
          <t>Wallet</t>
        </is>
      </c>
      <c r="G58" t="inlineStr">
        <is>
          <t>captured</t>
        </is>
      </c>
      <c r="H58" t="n">
        <v>21</v>
      </c>
      <c r="I58" s="4">
        <f>INT(D58)</f>
        <v/>
      </c>
      <c r="J58">
        <f>IFERROR(VLOOKUP(C58,Merchants!$A$2:$D$41,2,FALSE),"Merchant not found")</f>
        <v/>
      </c>
      <c r="K58">
        <f>IFERROR(VLOOKUP(C58,Merchants!$A$2:$D$41,3,FALSE),"Merchant not found")</f>
        <v/>
      </c>
      <c r="L58">
        <f>IFERROR(VLOOKUP(C58,Merchants!$A$2:$D$41,4,FALSE),"Merchant not found")</f>
        <v/>
      </c>
      <c r="M58" s="5">
        <f>HLOOKUP(F58,Fee_Reference!$B$1:$E$2,2,FALSE)</f>
        <v/>
      </c>
      <c r="N58">
        <f>SUMIFS($E$2:$E$548,$C$2:$C$548,C58,$I$2:$I$548,I58)</f>
        <v/>
      </c>
      <c r="O58">
        <f>IF(J58="Merchant not found","Merchant not found",IF(AND(N58&gt;5000,L58&lt;&gt;"East"),"High-Value Merchant Day","Normal Merchant Day"))</f>
        <v/>
      </c>
    </row>
    <row r="59">
      <c r="A59" t="inlineStr">
        <is>
          <t>TXN100057</t>
        </is>
      </c>
      <c r="B59" t="n">
        <v>59</v>
      </c>
      <c r="C59" t="n">
        <v>11</v>
      </c>
      <c r="D59" s="3" t="n">
        <v>46042.82430555556</v>
      </c>
      <c r="E59" t="n">
        <v>299</v>
      </c>
      <c r="F59" t="inlineStr">
        <is>
          <t>UPI</t>
        </is>
      </c>
      <c r="G59" t="inlineStr">
        <is>
          <t>captured</t>
        </is>
      </c>
      <c r="H59" t="n">
        <v>39</v>
      </c>
      <c r="I59" s="4">
        <f>INT(D59)</f>
        <v/>
      </c>
      <c r="J59">
        <f>IFERROR(VLOOKUP(C59,Merchants!$A$2:$D$41,2,FALSE),"Merchant not found")</f>
        <v/>
      </c>
      <c r="K59">
        <f>IFERROR(VLOOKUP(C59,Merchants!$A$2:$D$41,3,FALSE),"Merchant not found")</f>
        <v/>
      </c>
      <c r="L59">
        <f>IFERROR(VLOOKUP(C59,Merchants!$A$2:$D$41,4,FALSE),"Merchant not found")</f>
        <v/>
      </c>
      <c r="M59" s="5">
        <f>HLOOKUP(F59,Fee_Reference!$B$1:$E$2,2,FALSE)</f>
        <v/>
      </c>
      <c r="N59">
        <f>SUMIFS($E$2:$E$548,$C$2:$C$548,C59,$I$2:$I$548,I59)</f>
        <v/>
      </c>
      <c r="O59">
        <f>IF(J59="Merchant not found","Merchant not found",IF(AND(N59&gt;5000,L59&lt;&gt;"East"),"High-Value Merchant Day","Normal Merchant Day"))</f>
        <v/>
      </c>
    </row>
    <row r="60">
      <c r="A60" t="inlineStr">
        <is>
          <t>TXN100058</t>
        </is>
      </c>
      <c r="B60" t="n">
        <v>160</v>
      </c>
      <c r="C60" t="n">
        <v>37</v>
      </c>
      <c r="D60" s="3" t="n">
        <v>46026.75069444445</v>
      </c>
      <c r="E60" t="n">
        <v>49</v>
      </c>
      <c r="F60" t="inlineStr">
        <is>
          <t>Wallet</t>
        </is>
      </c>
      <c r="G60" t="inlineStr">
        <is>
          <t>captured</t>
        </is>
      </c>
      <c r="H60" t="n">
        <v>86</v>
      </c>
      <c r="I60" s="4">
        <f>INT(D60)</f>
        <v/>
      </c>
      <c r="J60">
        <f>IFERROR(VLOOKUP(C60,Merchants!$A$2:$D$41,2,FALSE),"Merchant not found")</f>
        <v/>
      </c>
      <c r="K60">
        <f>IFERROR(VLOOKUP(C60,Merchants!$A$2:$D$41,3,FALSE),"Merchant not found")</f>
        <v/>
      </c>
      <c r="L60">
        <f>IFERROR(VLOOKUP(C60,Merchants!$A$2:$D$41,4,FALSE),"Merchant not found")</f>
        <v/>
      </c>
      <c r="M60" s="5">
        <f>HLOOKUP(F60,Fee_Reference!$B$1:$E$2,2,FALSE)</f>
        <v/>
      </c>
      <c r="N60">
        <f>SUMIFS($E$2:$E$548,$C$2:$C$548,C60,$I$2:$I$548,I60)</f>
        <v/>
      </c>
      <c r="O60">
        <f>IF(J60="Merchant not found","Merchant not found",IF(AND(N60&gt;5000,L60&lt;&gt;"East"),"High-Value Merchant Day","Normal Merchant Day"))</f>
        <v/>
      </c>
    </row>
    <row r="61">
      <c r="A61" t="inlineStr">
        <is>
          <t>TXN100059</t>
        </is>
      </c>
      <c r="B61" t="n">
        <v>102</v>
      </c>
      <c r="C61" t="n">
        <v>5</v>
      </c>
      <c r="D61" s="3" t="n">
        <v>46052.51736111111</v>
      </c>
      <c r="E61" t="n">
        <v>2999</v>
      </c>
      <c r="F61" t="inlineStr">
        <is>
          <t>UPI</t>
        </is>
      </c>
      <c r="G61" t="inlineStr">
        <is>
          <t>captured</t>
        </is>
      </c>
      <c r="H61" t="n">
        <v>75</v>
      </c>
      <c r="I61" s="4">
        <f>INT(D61)</f>
        <v/>
      </c>
      <c r="J61">
        <f>IFERROR(VLOOKUP(C61,Merchants!$A$2:$D$41,2,FALSE),"Merchant not found")</f>
        <v/>
      </c>
      <c r="K61">
        <f>IFERROR(VLOOKUP(C61,Merchants!$A$2:$D$41,3,FALSE),"Merchant not found")</f>
        <v/>
      </c>
      <c r="L61">
        <f>IFERROR(VLOOKUP(C61,Merchants!$A$2:$D$41,4,FALSE),"Merchant not found")</f>
        <v/>
      </c>
      <c r="M61" s="5">
        <f>HLOOKUP(F61,Fee_Reference!$B$1:$E$2,2,FALSE)</f>
        <v/>
      </c>
      <c r="N61">
        <f>SUMIFS($E$2:$E$548,$C$2:$C$548,C61,$I$2:$I$548,I61)</f>
        <v/>
      </c>
      <c r="O61">
        <f>IF(J61="Merchant not found","Merchant not found",IF(AND(N61&gt;5000,L61&lt;&gt;"East"),"High-Value Merchant Day","Normal Merchant Day"))</f>
        <v/>
      </c>
    </row>
    <row r="62">
      <c r="A62" t="inlineStr">
        <is>
          <t>TXN100060</t>
        </is>
      </c>
      <c r="B62" t="n">
        <v>53</v>
      </c>
      <c r="C62" t="n">
        <v>20</v>
      </c>
      <c r="D62" s="3" t="n">
        <v>46045.84375</v>
      </c>
      <c r="E62" t="n">
        <v>49</v>
      </c>
      <c r="F62" t="inlineStr">
        <is>
          <t>Netbanking</t>
        </is>
      </c>
      <c r="G62" t="inlineStr">
        <is>
          <t>captured</t>
        </is>
      </c>
      <c r="H62" t="n">
        <v>87</v>
      </c>
      <c r="I62" s="4">
        <f>INT(D62)</f>
        <v/>
      </c>
      <c r="J62">
        <f>IFERROR(VLOOKUP(C62,Merchants!$A$2:$D$41,2,FALSE),"Merchant not found")</f>
        <v/>
      </c>
      <c r="K62">
        <f>IFERROR(VLOOKUP(C62,Merchants!$A$2:$D$41,3,FALSE),"Merchant not found")</f>
        <v/>
      </c>
      <c r="L62">
        <f>IFERROR(VLOOKUP(C62,Merchants!$A$2:$D$41,4,FALSE),"Merchant not found")</f>
        <v/>
      </c>
      <c r="M62" s="5">
        <f>HLOOKUP(F62,Fee_Reference!$B$1:$E$2,2,FALSE)</f>
        <v/>
      </c>
      <c r="N62">
        <f>SUMIFS($E$2:$E$548,$C$2:$C$548,C62,$I$2:$I$548,I62)</f>
        <v/>
      </c>
      <c r="O62">
        <f>IF(J62="Merchant not found","Merchant not found",IF(AND(N62&gt;5000,L62&lt;&gt;"East"),"High-Value Merchant Day","Normal Merchant Day"))</f>
        <v/>
      </c>
    </row>
    <row r="63">
      <c r="A63" t="inlineStr">
        <is>
          <t>TXN100061</t>
        </is>
      </c>
      <c r="B63" t="n">
        <v>290</v>
      </c>
      <c r="C63" t="n">
        <v>3</v>
      </c>
      <c r="D63" s="3" t="n">
        <v>46042.15972222222</v>
      </c>
      <c r="E63" t="n">
        <v>99</v>
      </c>
      <c r="F63" t="inlineStr">
        <is>
          <t>Wallet</t>
        </is>
      </c>
      <c r="G63" t="inlineStr">
        <is>
          <t>captured</t>
        </is>
      </c>
      <c r="H63" t="n">
        <v>44</v>
      </c>
      <c r="I63" s="4">
        <f>INT(D63)</f>
        <v/>
      </c>
      <c r="J63">
        <f>IFERROR(VLOOKUP(C63,Merchants!$A$2:$D$41,2,FALSE),"Merchant not found")</f>
        <v/>
      </c>
      <c r="K63">
        <f>IFERROR(VLOOKUP(C63,Merchants!$A$2:$D$41,3,FALSE),"Merchant not found")</f>
        <v/>
      </c>
      <c r="L63">
        <f>IFERROR(VLOOKUP(C63,Merchants!$A$2:$D$41,4,FALSE),"Merchant not found")</f>
        <v/>
      </c>
      <c r="M63" s="5">
        <f>HLOOKUP(F63,Fee_Reference!$B$1:$E$2,2,FALSE)</f>
        <v/>
      </c>
      <c r="N63">
        <f>SUMIFS($E$2:$E$548,$C$2:$C$548,C63,$I$2:$I$548,I63)</f>
        <v/>
      </c>
      <c r="O63">
        <f>IF(J63="Merchant not found","Merchant not found",IF(AND(N63&gt;5000,L63&lt;&gt;"East"),"High-Value Merchant Day","Normal Merchant Day"))</f>
        <v/>
      </c>
    </row>
    <row r="64">
      <c r="A64" t="inlineStr">
        <is>
          <t>TXN100062</t>
        </is>
      </c>
      <c r="B64" t="n">
        <v>190</v>
      </c>
      <c r="C64" t="n">
        <v>5</v>
      </c>
      <c r="D64" s="3" t="n">
        <v>46040.57083333333</v>
      </c>
      <c r="E64" t="n">
        <v>299</v>
      </c>
      <c r="F64" t="inlineStr">
        <is>
          <t>UPI</t>
        </is>
      </c>
      <c r="G64" t="inlineStr">
        <is>
          <t>captured</t>
        </is>
      </c>
      <c r="H64" t="n">
        <v>64</v>
      </c>
      <c r="I64" s="4">
        <f>INT(D64)</f>
        <v/>
      </c>
      <c r="J64">
        <f>IFERROR(VLOOKUP(C64,Merchants!$A$2:$D$41,2,FALSE),"Merchant not found")</f>
        <v/>
      </c>
      <c r="K64">
        <f>IFERROR(VLOOKUP(C64,Merchants!$A$2:$D$41,3,FALSE),"Merchant not found")</f>
        <v/>
      </c>
      <c r="L64">
        <f>IFERROR(VLOOKUP(C64,Merchants!$A$2:$D$41,4,FALSE),"Merchant not found")</f>
        <v/>
      </c>
      <c r="M64" s="5">
        <f>HLOOKUP(F64,Fee_Reference!$B$1:$E$2,2,FALSE)</f>
        <v/>
      </c>
      <c r="N64">
        <f>SUMIFS($E$2:$E$548,$C$2:$C$548,C64,$I$2:$I$548,I64)</f>
        <v/>
      </c>
      <c r="O64">
        <f>IF(J64="Merchant not found","Merchant not found",IF(AND(N64&gt;5000,L64&lt;&gt;"East"),"High-Value Merchant Day","Normal Merchant Day"))</f>
        <v/>
      </c>
    </row>
    <row r="65">
      <c r="A65" t="inlineStr">
        <is>
          <t>TXN100063</t>
        </is>
      </c>
      <c r="B65" t="n">
        <v>216</v>
      </c>
      <c r="C65" t="n">
        <v>32</v>
      </c>
      <c r="D65" s="3" t="n">
        <v>46043.41666666666</v>
      </c>
      <c r="E65" t="n">
        <v>49</v>
      </c>
      <c r="F65" t="inlineStr">
        <is>
          <t>Card</t>
        </is>
      </c>
      <c r="G65" t="inlineStr">
        <is>
          <t>captured</t>
        </is>
      </c>
      <c r="H65" t="n">
        <v>13</v>
      </c>
      <c r="I65" s="4">
        <f>INT(D65)</f>
        <v/>
      </c>
      <c r="J65">
        <f>IFERROR(VLOOKUP(C65,Merchants!$A$2:$D$41,2,FALSE),"Merchant not found")</f>
        <v/>
      </c>
      <c r="K65">
        <f>IFERROR(VLOOKUP(C65,Merchants!$A$2:$D$41,3,FALSE),"Merchant not found")</f>
        <v/>
      </c>
      <c r="L65">
        <f>IFERROR(VLOOKUP(C65,Merchants!$A$2:$D$41,4,FALSE),"Merchant not found")</f>
        <v/>
      </c>
      <c r="M65" s="5">
        <f>HLOOKUP(F65,Fee_Reference!$B$1:$E$2,2,FALSE)</f>
        <v/>
      </c>
      <c r="N65">
        <f>SUMIFS($E$2:$E$548,$C$2:$C$548,C65,$I$2:$I$548,I65)</f>
        <v/>
      </c>
      <c r="O65">
        <f>IF(J65="Merchant not found","Merchant not found",IF(AND(N65&gt;5000,L65&lt;&gt;"East"),"High-Value Merchant Day","Normal Merchant Day"))</f>
        <v/>
      </c>
    </row>
    <row r="66">
      <c r="A66" t="inlineStr">
        <is>
          <t>TXN100064</t>
        </is>
      </c>
      <c r="B66" t="n">
        <v>236</v>
      </c>
      <c r="C66" t="n">
        <v>10</v>
      </c>
      <c r="D66" s="3" t="n">
        <v>46036.48611111111</v>
      </c>
      <c r="E66" t="n">
        <v>499</v>
      </c>
      <c r="F66" t="inlineStr">
        <is>
          <t>UPI</t>
        </is>
      </c>
      <c r="G66" t="inlineStr">
        <is>
          <t>captured</t>
        </is>
      </c>
      <c r="H66" t="n">
        <v>55</v>
      </c>
      <c r="I66" s="4">
        <f>INT(D66)</f>
        <v/>
      </c>
      <c r="J66">
        <f>IFERROR(VLOOKUP(C66,Merchants!$A$2:$D$41,2,FALSE),"Merchant not found")</f>
        <v/>
      </c>
      <c r="K66">
        <f>IFERROR(VLOOKUP(C66,Merchants!$A$2:$D$41,3,FALSE),"Merchant not found")</f>
        <v/>
      </c>
      <c r="L66">
        <f>IFERROR(VLOOKUP(C66,Merchants!$A$2:$D$41,4,FALSE),"Merchant not found")</f>
        <v/>
      </c>
      <c r="M66" s="5">
        <f>HLOOKUP(F66,Fee_Reference!$B$1:$E$2,2,FALSE)</f>
        <v/>
      </c>
      <c r="N66">
        <f>SUMIFS($E$2:$E$548,$C$2:$C$548,C66,$I$2:$I$548,I66)</f>
        <v/>
      </c>
      <c r="O66">
        <f>IF(J66="Merchant not found","Merchant not found",IF(AND(N66&gt;5000,L66&lt;&gt;"East"),"High-Value Merchant Day","Normal Merchant Day"))</f>
        <v/>
      </c>
    </row>
    <row r="67">
      <c r="A67" t="inlineStr">
        <is>
          <t>TXN100065</t>
        </is>
      </c>
      <c r="B67" t="n">
        <v>334</v>
      </c>
      <c r="C67" t="n">
        <v>18</v>
      </c>
      <c r="D67" s="3" t="n">
        <v>46028.98125</v>
      </c>
      <c r="E67" t="n">
        <v>499</v>
      </c>
      <c r="F67" t="inlineStr">
        <is>
          <t>Card</t>
        </is>
      </c>
      <c r="G67" t="inlineStr">
        <is>
          <t>captured</t>
        </is>
      </c>
      <c r="H67" t="n">
        <v>78</v>
      </c>
      <c r="I67" s="4">
        <f>INT(D67)</f>
        <v/>
      </c>
      <c r="J67">
        <f>IFERROR(VLOOKUP(C67,Merchants!$A$2:$D$41,2,FALSE),"Merchant not found")</f>
        <v/>
      </c>
      <c r="K67">
        <f>IFERROR(VLOOKUP(C67,Merchants!$A$2:$D$41,3,FALSE),"Merchant not found")</f>
        <v/>
      </c>
      <c r="L67">
        <f>IFERROR(VLOOKUP(C67,Merchants!$A$2:$D$41,4,FALSE),"Merchant not found")</f>
        <v/>
      </c>
      <c r="M67" s="5">
        <f>HLOOKUP(F67,Fee_Reference!$B$1:$E$2,2,FALSE)</f>
        <v/>
      </c>
      <c r="N67">
        <f>SUMIFS($E$2:$E$548,$C$2:$C$548,C67,$I$2:$I$548,I67)</f>
        <v/>
      </c>
      <c r="O67">
        <f>IF(J67="Merchant not found","Merchant not found",IF(AND(N67&gt;5000,L67&lt;&gt;"East"),"High-Value Merchant Day","Normal Merchant Day"))</f>
        <v/>
      </c>
    </row>
    <row r="68">
      <c r="A68" t="inlineStr">
        <is>
          <t>TXN100066</t>
        </is>
      </c>
      <c r="B68" t="n">
        <v>248</v>
      </c>
      <c r="C68" t="n">
        <v>30</v>
      </c>
      <c r="D68" s="3" t="n">
        <v>46048.74236111111</v>
      </c>
      <c r="E68" t="n">
        <v>799</v>
      </c>
      <c r="F68" t="inlineStr">
        <is>
          <t>Wallet</t>
        </is>
      </c>
      <c r="G68" t="inlineStr">
        <is>
          <t>captured</t>
        </is>
      </c>
      <c r="H68" t="n">
        <v>55</v>
      </c>
      <c r="I68" s="4">
        <f>INT(D68)</f>
        <v/>
      </c>
      <c r="J68">
        <f>IFERROR(VLOOKUP(C68,Merchants!$A$2:$D$41,2,FALSE),"Merchant not found")</f>
        <v/>
      </c>
      <c r="K68">
        <f>IFERROR(VLOOKUP(C68,Merchants!$A$2:$D$41,3,FALSE),"Merchant not found")</f>
        <v/>
      </c>
      <c r="L68">
        <f>IFERROR(VLOOKUP(C68,Merchants!$A$2:$D$41,4,FALSE),"Merchant not found")</f>
        <v/>
      </c>
      <c r="M68" s="5">
        <f>HLOOKUP(F68,Fee_Reference!$B$1:$E$2,2,FALSE)</f>
        <v/>
      </c>
      <c r="N68">
        <f>SUMIFS($E$2:$E$548,$C$2:$C$548,C68,$I$2:$I$548,I68)</f>
        <v/>
      </c>
      <c r="O68">
        <f>IF(J68="Merchant not found","Merchant not found",IF(AND(N68&gt;5000,L68&lt;&gt;"East"),"High-Value Merchant Day","Normal Merchant Day"))</f>
        <v/>
      </c>
    </row>
    <row r="69">
      <c r="A69" t="inlineStr">
        <is>
          <t>TXN100067</t>
        </is>
      </c>
      <c r="B69" t="n">
        <v>138</v>
      </c>
      <c r="C69" t="n">
        <v>21</v>
      </c>
      <c r="D69" s="3" t="n">
        <v>46049.98402777778</v>
      </c>
      <c r="E69" t="n">
        <v>49</v>
      </c>
      <c r="F69" t="inlineStr">
        <is>
          <t>Card</t>
        </is>
      </c>
      <c r="G69" t="inlineStr">
        <is>
          <t>captured</t>
        </is>
      </c>
      <c r="H69" t="n">
        <v>31</v>
      </c>
      <c r="I69" s="4">
        <f>INT(D69)</f>
        <v/>
      </c>
      <c r="J69">
        <f>IFERROR(VLOOKUP(C69,Merchants!$A$2:$D$41,2,FALSE),"Merchant not found")</f>
        <v/>
      </c>
      <c r="K69">
        <f>IFERROR(VLOOKUP(C69,Merchants!$A$2:$D$41,3,FALSE),"Merchant not found")</f>
        <v/>
      </c>
      <c r="L69">
        <f>IFERROR(VLOOKUP(C69,Merchants!$A$2:$D$41,4,FALSE),"Merchant not found")</f>
        <v/>
      </c>
      <c r="M69" s="5">
        <f>HLOOKUP(F69,Fee_Reference!$B$1:$E$2,2,FALSE)</f>
        <v/>
      </c>
      <c r="N69">
        <f>SUMIFS($E$2:$E$548,$C$2:$C$548,C69,$I$2:$I$548,I69)</f>
        <v/>
      </c>
      <c r="O69">
        <f>IF(J69="Merchant not found","Merchant not found",IF(AND(N69&gt;5000,L69&lt;&gt;"East"),"High-Value Merchant Day","Normal Merchant Day"))</f>
        <v/>
      </c>
    </row>
    <row r="70">
      <c r="A70" t="inlineStr">
        <is>
          <t>TXN100068</t>
        </is>
      </c>
      <c r="B70" t="n">
        <v>231</v>
      </c>
      <c r="C70" t="n">
        <v>16</v>
      </c>
      <c r="D70" s="3" t="n">
        <v>46049.09513888889</v>
      </c>
      <c r="E70" t="n">
        <v>49</v>
      </c>
      <c r="F70" t="inlineStr">
        <is>
          <t>UPI</t>
        </is>
      </c>
      <c r="G70" t="inlineStr">
        <is>
          <t>captured</t>
        </is>
      </c>
      <c r="H70" t="n">
        <v>96</v>
      </c>
      <c r="I70" s="4">
        <f>INT(D70)</f>
        <v/>
      </c>
      <c r="J70">
        <f>IFERROR(VLOOKUP(C70,Merchants!$A$2:$D$41,2,FALSE),"Merchant not found")</f>
        <v/>
      </c>
      <c r="K70">
        <f>IFERROR(VLOOKUP(C70,Merchants!$A$2:$D$41,3,FALSE),"Merchant not found")</f>
        <v/>
      </c>
      <c r="L70">
        <f>IFERROR(VLOOKUP(C70,Merchants!$A$2:$D$41,4,FALSE),"Merchant not found")</f>
        <v/>
      </c>
      <c r="M70" s="5">
        <f>HLOOKUP(F70,Fee_Reference!$B$1:$E$2,2,FALSE)</f>
        <v/>
      </c>
      <c r="N70">
        <f>SUMIFS($E$2:$E$548,$C$2:$C$548,C70,$I$2:$I$548,I70)</f>
        <v/>
      </c>
      <c r="O70">
        <f>IF(J70="Merchant not found","Merchant not found",IF(AND(N70&gt;5000,L70&lt;&gt;"East"),"High-Value Merchant Day","Normal Merchant Day"))</f>
        <v/>
      </c>
    </row>
    <row r="71">
      <c r="A71" t="inlineStr">
        <is>
          <t>TXN100069</t>
        </is>
      </c>
      <c r="B71" t="n">
        <v>343</v>
      </c>
      <c r="C71" t="n">
        <v>25</v>
      </c>
      <c r="D71" s="3" t="n">
        <v>46037.77708333333</v>
      </c>
      <c r="E71" t="n">
        <v>49</v>
      </c>
      <c r="F71" t="inlineStr">
        <is>
          <t>UPI</t>
        </is>
      </c>
      <c r="G71" t="inlineStr">
        <is>
          <t>captured</t>
        </is>
      </c>
      <c r="H71" t="n">
        <v>43</v>
      </c>
      <c r="I71" s="4">
        <f>INT(D71)</f>
        <v/>
      </c>
      <c r="J71">
        <f>IFERROR(VLOOKUP(C71,Merchants!$A$2:$D$41,2,FALSE),"Merchant not found")</f>
        <v/>
      </c>
      <c r="K71">
        <f>IFERROR(VLOOKUP(C71,Merchants!$A$2:$D$41,3,FALSE),"Merchant not found")</f>
        <v/>
      </c>
      <c r="L71">
        <f>IFERROR(VLOOKUP(C71,Merchants!$A$2:$D$41,4,FALSE),"Merchant not found")</f>
        <v/>
      </c>
      <c r="M71" s="5">
        <f>HLOOKUP(F71,Fee_Reference!$B$1:$E$2,2,FALSE)</f>
        <v/>
      </c>
      <c r="N71">
        <f>SUMIFS($E$2:$E$548,$C$2:$C$548,C71,$I$2:$I$548,I71)</f>
        <v/>
      </c>
      <c r="O71">
        <f>IF(J71="Merchant not found","Merchant not found",IF(AND(N71&gt;5000,L71&lt;&gt;"East"),"High-Value Merchant Day","Normal Merchant Day"))</f>
        <v/>
      </c>
    </row>
    <row r="72">
      <c r="A72" t="inlineStr">
        <is>
          <t>TXN100070</t>
        </is>
      </c>
      <c r="B72" t="n">
        <v>167</v>
      </c>
      <c r="C72" t="n">
        <v>12</v>
      </c>
      <c r="D72" s="3" t="n">
        <v>46023.6625</v>
      </c>
      <c r="E72" t="n">
        <v>499</v>
      </c>
      <c r="F72" t="inlineStr">
        <is>
          <t>Wallet</t>
        </is>
      </c>
      <c r="G72" t="inlineStr">
        <is>
          <t>captured</t>
        </is>
      </c>
      <c r="H72" t="n">
        <v>62</v>
      </c>
      <c r="I72" s="4">
        <f>INT(D72)</f>
        <v/>
      </c>
      <c r="J72">
        <f>IFERROR(VLOOKUP(C72,Merchants!$A$2:$D$41,2,FALSE),"Merchant not found")</f>
        <v/>
      </c>
      <c r="K72">
        <f>IFERROR(VLOOKUP(C72,Merchants!$A$2:$D$41,3,FALSE),"Merchant not found")</f>
        <v/>
      </c>
      <c r="L72">
        <f>IFERROR(VLOOKUP(C72,Merchants!$A$2:$D$41,4,FALSE),"Merchant not found")</f>
        <v/>
      </c>
      <c r="M72" s="5">
        <f>HLOOKUP(F72,Fee_Reference!$B$1:$E$2,2,FALSE)</f>
        <v/>
      </c>
      <c r="N72">
        <f>SUMIFS($E$2:$E$548,$C$2:$C$548,C72,$I$2:$I$548,I72)</f>
        <v/>
      </c>
      <c r="O72">
        <f>IF(J72="Merchant not found","Merchant not found",IF(AND(N72&gt;5000,L72&lt;&gt;"East"),"High-Value Merchant Day","Normal Merchant Day"))</f>
        <v/>
      </c>
    </row>
    <row r="73">
      <c r="A73" t="inlineStr">
        <is>
          <t>TXN100071</t>
        </is>
      </c>
      <c r="B73" t="n">
        <v>133</v>
      </c>
      <c r="C73" t="n">
        <v>22</v>
      </c>
      <c r="D73" s="3" t="n">
        <v>46029.49375</v>
      </c>
      <c r="E73" t="n">
        <v>499</v>
      </c>
      <c r="F73" t="inlineStr">
        <is>
          <t>UPI</t>
        </is>
      </c>
      <c r="G73" t="inlineStr">
        <is>
          <t>captured</t>
        </is>
      </c>
      <c r="H73" t="n">
        <v>35</v>
      </c>
      <c r="I73" s="4">
        <f>INT(D73)</f>
        <v/>
      </c>
      <c r="J73">
        <f>IFERROR(VLOOKUP(C73,Merchants!$A$2:$D$41,2,FALSE),"Merchant not found")</f>
        <v/>
      </c>
      <c r="K73">
        <f>IFERROR(VLOOKUP(C73,Merchants!$A$2:$D$41,3,FALSE),"Merchant not found")</f>
        <v/>
      </c>
      <c r="L73">
        <f>IFERROR(VLOOKUP(C73,Merchants!$A$2:$D$41,4,FALSE),"Merchant not found")</f>
        <v/>
      </c>
      <c r="M73" s="5">
        <f>HLOOKUP(F73,Fee_Reference!$B$1:$E$2,2,FALSE)</f>
        <v/>
      </c>
      <c r="N73">
        <f>SUMIFS($E$2:$E$548,$C$2:$C$548,C73,$I$2:$I$548,I73)</f>
        <v/>
      </c>
      <c r="O73">
        <f>IF(J73="Merchant not found","Merchant not found",IF(AND(N73&gt;5000,L73&lt;&gt;"East"),"High-Value Merchant Day","Normal Merchant Day"))</f>
        <v/>
      </c>
    </row>
    <row r="74">
      <c r="A74" t="inlineStr">
        <is>
          <t>TXN100072</t>
        </is>
      </c>
      <c r="B74" t="n">
        <v>142</v>
      </c>
      <c r="C74" t="n">
        <v>36</v>
      </c>
      <c r="D74" s="3" t="n">
        <v>46051.82222222222</v>
      </c>
      <c r="E74" t="n">
        <v>799</v>
      </c>
      <c r="F74" t="inlineStr">
        <is>
          <t>Wallet</t>
        </is>
      </c>
      <c r="G74" t="inlineStr">
        <is>
          <t>captured</t>
        </is>
      </c>
      <c r="H74" t="n">
        <v>1</v>
      </c>
      <c r="I74" s="4">
        <f>INT(D74)</f>
        <v/>
      </c>
      <c r="J74">
        <f>IFERROR(VLOOKUP(C74,Merchants!$A$2:$D$41,2,FALSE),"Merchant not found")</f>
        <v/>
      </c>
      <c r="K74">
        <f>IFERROR(VLOOKUP(C74,Merchants!$A$2:$D$41,3,FALSE),"Merchant not found")</f>
        <v/>
      </c>
      <c r="L74">
        <f>IFERROR(VLOOKUP(C74,Merchants!$A$2:$D$41,4,FALSE),"Merchant not found")</f>
        <v/>
      </c>
      <c r="M74" s="5">
        <f>HLOOKUP(F74,Fee_Reference!$B$1:$E$2,2,FALSE)</f>
        <v/>
      </c>
      <c r="N74">
        <f>SUMIFS($E$2:$E$548,$C$2:$C$548,C74,$I$2:$I$548,I74)</f>
        <v/>
      </c>
      <c r="O74">
        <f>IF(J74="Merchant not found","Merchant not found",IF(AND(N74&gt;5000,L74&lt;&gt;"East"),"High-Value Merchant Day","Normal Merchant Day"))</f>
        <v/>
      </c>
    </row>
    <row r="75">
      <c r="A75" t="inlineStr">
        <is>
          <t>TXN100073</t>
        </is>
      </c>
      <c r="B75" t="n">
        <v>124</v>
      </c>
      <c r="C75" t="n">
        <v>27</v>
      </c>
      <c r="D75" s="3" t="n">
        <v>46039.25347222222</v>
      </c>
      <c r="E75" t="n">
        <v>499</v>
      </c>
      <c r="F75" t="inlineStr">
        <is>
          <t>Wallet</t>
        </is>
      </c>
      <c r="G75" t="inlineStr">
        <is>
          <t>captured</t>
        </is>
      </c>
      <c r="H75" t="n">
        <v>62</v>
      </c>
      <c r="I75" s="4">
        <f>INT(D75)</f>
        <v/>
      </c>
      <c r="J75">
        <f>IFERROR(VLOOKUP(C75,Merchants!$A$2:$D$41,2,FALSE),"Merchant not found")</f>
        <v/>
      </c>
      <c r="K75">
        <f>IFERROR(VLOOKUP(C75,Merchants!$A$2:$D$41,3,FALSE),"Merchant not found")</f>
        <v/>
      </c>
      <c r="L75">
        <f>IFERROR(VLOOKUP(C75,Merchants!$A$2:$D$41,4,FALSE),"Merchant not found")</f>
        <v/>
      </c>
      <c r="M75" s="5">
        <f>HLOOKUP(F75,Fee_Reference!$B$1:$E$2,2,FALSE)</f>
        <v/>
      </c>
      <c r="N75">
        <f>SUMIFS($E$2:$E$548,$C$2:$C$548,C75,$I$2:$I$548,I75)</f>
        <v/>
      </c>
      <c r="O75">
        <f>IF(J75="Merchant not found","Merchant not found",IF(AND(N75&gt;5000,L75&lt;&gt;"East"),"High-Value Merchant Day","Normal Merchant Day"))</f>
        <v/>
      </c>
    </row>
    <row r="76">
      <c r="A76" t="inlineStr">
        <is>
          <t>TXN100074</t>
        </is>
      </c>
      <c r="B76" t="n">
        <v>244</v>
      </c>
      <c r="C76" t="n">
        <v>32</v>
      </c>
      <c r="D76" s="3" t="n">
        <v>46040.32222222222</v>
      </c>
      <c r="E76" t="n">
        <v>149</v>
      </c>
      <c r="F76" t="inlineStr">
        <is>
          <t>UPI</t>
        </is>
      </c>
      <c r="G76" t="inlineStr">
        <is>
          <t>captured</t>
        </is>
      </c>
      <c r="H76" t="n">
        <v>57</v>
      </c>
      <c r="I76" s="4">
        <f>INT(D76)</f>
        <v/>
      </c>
      <c r="J76">
        <f>IFERROR(VLOOKUP(C76,Merchants!$A$2:$D$41,2,FALSE),"Merchant not found")</f>
        <v/>
      </c>
      <c r="K76">
        <f>IFERROR(VLOOKUP(C76,Merchants!$A$2:$D$41,3,FALSE),"Merchant not found")</f>
        <v/>
      </c>
      <c r="L76">
        <f>IFERROR(VLOOKUP(C76,Merchants!$A$2:$D$41,4,FALSE),"Merchant not found")</f>
        <v/>
      </c>
      <c r="M76" s="5">
        <f>HLOOKUP(F76,Fee_Reference!$B$1:$E$2,2,FALSE)</f>
        <v/>
      </c>
      <c r="N76">
        <f>SUMIFS($E$2:$E$548,$C$2:$C$548,C76,$I$2:$I$548,I76)</f>
        <v/>
      </c>
      <c r="O76">
        <f>IF(J76="Merchant not found","Merchant not found",IF(AND(N76&gt;5000,L76&lt;&gt;"East"),"High-Value Merchant Day","Normal Merchant Day"))</f>
        <v/>
      </c>
    </row>
    <row r="77">
      <c r="A77" t="inlineStr">
        <is>
          <t>TXN100075</t>
        </is>
      </c>
      <c r="B77" t="n">
        <v>151</v>
      </c>
      <c r="C77" t="n">
        <v>15</v>
      </c>
      <c r="D77" s="3" t="n">
        <v>46048.00347222222</v>
      </c>
      <c r="E77" t="n">
        <v>4999</v>
      </c>
      <c r="F77" t="inlineStr">
        <is>
          <t>UPI</t>
        </is>
      </c>
      <c r="G77" t="inlineStr">
        <is>
          <t>captured</t>
        </is>
      </c>
      <c r="H77" t="n">
        <v>51</v>
      </c>
      <c r="I77" s="4">
        <f>INT(D77)</f>
        <v/>
      </c>
      <c r="J77">
        <f>IFERROR(VLOOKUP(C77,Merchants!$A$2:$D$41,2,FALSE),"Merchant not found")</f>
        <v/>
      </c>
      <c r="K77">
        <f>IFERROR(VLOOKUP(C77,Merchants!$A$2:$D$41,3,FALSE),"Merchant not found")</f>
        <v/>
      </c>
      <c r="L77">
        <f>IFERROR(VLOOKUP(C77,Merchants!$A$2:$D$41,4,FALSE),"Merchant not found")</f>
        <v/>
      </c>
      <c r="M77" s="5">
        <f>HLOOKUP(F77,Fee_Reference!$B$1:$E$2,2,FALSE)</f>
        <v/>
      </c>
      <c r="N77">
        <f>SUMIFS($E$2:$E$548,$C$2:$C$548,C77,$I$2:$I$548,I77)</f>
        <v/>
      </c>
      <c r="O77">
        <f>IF(J77="Merchant not found","Merchant not found",IF(AND(N77&gt;5000,L77&lt;&gt;"East"),"High-Value Merchant Day","Normal Merchant Day"))</f>
        <v/>
      </c>
    </row>
    <row r="78">
      <c r="A78" t="inlineStr">
        <is>
          <t>TXN100076</t>
        </is>
      </c>
      <c r="B78" t="n">
        <v>340</v>
      </c>
      <c r="C78" t="n">
        <v>38</v>
      </c>
      <c r="D78" s="3" t="n">
        <v>46045.30486111111</v>
      </c>
      <c r="E78" t="n">
        <v>499</v>
      </c>
      <c r="F78" t="inlineStr">
        <is>
          <t>Card</t>
        </is>
      </c>
      <c r="G78" t="inlineStr">
        <is>
          <t>captured</t>
        </is>
      </c>
      <c r="H78" t="n">
        <v>47</v>
      </c>
      <c r="I78" s="4">
        <f>INT(D78)</f>
        <v/>
      </c>
      <c r="J78">
        <f>IFERROR(VLOOKUP(C78,Merchants!$A$2:$D$41,2,FALSE),"Merchant not found")</f>
        <v/>
      </c>
      <c r="K78">
        <f>IFERROR(VLOOKUP(C78,Merchants!$A$2:$D$41,3,FALSE),"Merchant not found")</f>
        <v/>
      </c>
      <c r="L78">
        <f>IFERROR(VLOOKUP(C78,Merchants!$A$2:$D$41,4,FALSE),"Merchant not found")</f>
        <v/>
      </c>
      <c r="M78" s="5">
        <f>HLOOKUP(F78,Fee_Reference!$B$1:$E$2,2,FALSE)</f>
        <v/>
      </c>
      <c r="N78">
        <f>SUMIFS($E$2:$E$548,$C$2:$C$548,C78,$I$2:$I$548,I78)</f>
        <v/>
      </c>
      <c r="O78">
        <f>IF(J78="Merchant not found","Merchant not found",IF(AND(N78&gt;5000,L78&lt;&gt;"East"),"High-Value Merchant Day","Normal Merchant Day"))</f>
        <v/>
      </c>
    </row>
    <row r="79">
      <c r="A79" t="inlineStr">
        <is>
          <t>TXN100077</t>
        </is>
      </c>
      <c r="B79" t="n">
        <v>177</v>
      </c>
      <c r="C79" t="n">
        <v>28</v>
      </c>
      <c r="D79" s="3" t="n">
        <v>46038.73125</v>
      </c>
      <c r="E79" t="n">
        <v>299</v>
      </c>
      <c r="F79" t="inlineStr">
        <is>
          <t>UPI</t>
        </is>
      </c>
      <c r="G79" t="inlineStr">
        <is>
          <t>captured</t>
        </is>
      </c>
      <c r="H79" t="n">
        <v>95</v>
      </c>
      <c r="I79" s="4">
        <f>INT(D79)</f>
        <v/>
      </c>
      <c r="J79">
        <f>IFERROR(VLOOKUP(C79,Merchants!$A$2:$D$41,2,FALSE),"Merchant not found")</f>
        <v/>
      </c>
      <c r="K79">
        <f>IFERROR(VLOOKUP(C79,Merchants!$A$2:$D$41,3,FALSE),"Merchant not found")</f>
        <v/>
      </c>
      <c r="L79">
        <f>IFERROR(VLOOKUP(C79,Merchants!$A$2:$D$41,4,FALSE),"Merchant not found")</f>
        <v/>
      </c>
      <c r="M79" s="5">
        <f>HLOOKUP(F79,Fee_Reference!$B$1:$E$2,2,FALSE)</f>
        <v/>
      </c>
      <c r="N79">
        <f>SUMIFS($E$2:$E$548,$C$2:$C$548,C79,$I$2:$I$548,I79)</f>
        <v/>
      </c>
      <c r="O79">
        <f>IF(J79="Merchant not found","Merchant not found",IF(AND(N79&gt;5000,L79&lt;&gt;"East"),"High-Value Merchant Day","Normal Merchant Day"))</f>
        <v/>
      </c>
    </row>
    <row r="80">
      <c r="A80" t="inlineStr">
        <is>
          <t>TXN100078</t>
        </is>
      </c>
      <c r="B80" t="n">
        <v>233</v>
      </c>
      <c r="C80" t="n">
        <v>18</v>
      </c>
      <c r="D80" s="3" t="n">
        <v>46040.43194444444</v>
      </c>
      <c r="E80" t="n">
        <v>499</v>
      </c>
      <c r="F80" t="inlineStr">
        <is>
          <t>UPI</t>
        </is>
      </c>
      <c r="G80" t="inlineStr">
        <is>
          <t>captured</t>
        </is>
      </c>
      <c r="H80" t="n">
        <v>39</v>
      </c>
      <c r="I80" s="4">
        <f>INT(D80)</f>
        <v/>
      </c>
      <c r="J80">
        <f>IFERROR(VLOOKUP(C80,Merchants!$A$2:$D$41,2,FALSE),"Merchant not found")</f>
        <v/>
      </c>
      <c r="K80">
        <f>IFERROR(VLOOKUP(C80,Merchants!$A$2:$D$41,3,FALSE),"Merchant not found")</f>
        <v/>
      </c>
      <c r="L80">
        <f>IFERROR(VLOOKUP(C80,Merchants!$A$2:$D$41,4,FALSE),"Merchant not found")</f>
        <v/>
      </c>
      <c r="M80" s="5">
        <f>HLOOKUP(F80,Fee_Reference!$B$1:$E$2,2,FALSE)</f>
        <v/>
      </c>
      <c r="N80">
        <f>SUMIFS($E$2:$E$548,$C$2:$C$548,C80,$I$2:$I$548,I80)</f>
        <v/>
      </c>
      <c r="O80">
        <f>IF(J80="Merchant not found","Merchant not found",IF(AND(N80&gt;5000,L80&lt;&gt;"East"),"High-Value Merchant Day","Normal Merchant Day"))</f>
        <v/>
      </c>
    </row>
    <row r="81">
      <c r="A81" t="inlineStr">
        <is>
          <t>TXN100079</t>
        </is>
      </c>
      <c r="B81" t="n">
        <v>99</v>
      </c>
      <c r="C81" t="n">
        <v>21</v>
      </c>
      <c r="D81" s="3" t="n">
        <v>46031.29652777778</v>
      </c>
      <c r="E81" t="n">
        <v>499</v>
      </c>
      <c r="F81" t="inlineStr">
        <is>
          <t>UPI</t>
        </is>
      </c>
      <c r="G81" t="inlineStr">
        <is>
          <t>captured</t>
        </is>
      </c>
      <c r="H81" t="n">
        <v>15</v>
      </c>
      <c r="I81" s="4">
        <f>INT(D81)</f>
        <v/>
      </c>
      <c r="J81">
        <f>IFERROR(VLOOKUP(C81,Merchants!$A$2:$D$41,2,FALSE),"Merchant not found")</f>
        <v/>
      </c>
      <c r="K81">
        <f>IFERROR(VLOOKUP(C81,Merchants!$A$2:$D$41,3,FALSE),"Merchant not found")</f>
        <v/>
      </c>
      <c r="L81">
        <f>IFERROR(VLOOKUP(C81,Merchants!$A$2:$D$41,4,FALSE),"Merchant not found")</f>
        <v/>
      </c>
      <c r="M81" s="5">
        <f>HLOOKUP(F81,Fee_Reference!$B$1:$E$2,2,FALSE)</f>
        <v/>
      </c>
      <c r="N81">
        <f>SUMIFS($E$2:$E$548,$C$2:$C$548,C81,$I$2:$I$548,I81)</f>
        <v/>
      </c>
      <c r="O81">
        <f>IF(J81="Merchant not found","Merchant not found",IF(AND(N81&gt;5000,L81&lt;&gt;"East"),"High-Value Merchant Day","Normal Merchant Day"))</f>
        <v/>
      </c>
    </row>
    <row r="82">
      <c r="A82" t="inlineStr">
        <is>
          <t>TXN100080</t>
        </is>
      </c>
      <c r="B82" t="n">
        <v>95</v>
      </c>
      <c r="C82" t="n">
        <v>13</v>
      </c>
      <c r="D82" s="3" t="n">
        <v>46046.74166666667</v>
      </c>
      <c r="E82" t="n">
        <v>2999</v>
      </c>
      <c r="F82" t="inlineStr">
        <is>
          <t>Netbanking</t>
        </is>
      </c>
      <c r="G82" t="inlineStr">
        <is>
          <t>failed</t>
        </is>
      </c>
      <c r="H82" t="n">
        <v>27</v>
      </c>
      <c r="I82" s="4">
        <f>INT(D82)</f>
        <v/>
      </c>
      <c r="J82">
        <f>IFERROR(VLOOKUP(C82,Merchants!$A$2:$D$41,2,FALSE),"Merchant not found")</f>
        <v/>
      </c>
      <c r="K82">
        <f>IFERROR(VLOOKUP(C82,Merchants!$A$2:$D$41,3,FALSE),"Merchant not found")</f>
        <v/>
      </c>
      <c r="L82">
        <f>IFERROR(VLOOKUP(C82,Merchants!$A$2:$D$41,4,FALSE),"Merchant not found")</f>
        <v/>
      </c>
      <c r="M82" s="5">
        <f>HLOOKUP(F82,Fee_Reference!$B$1:$E$2,2,FALSE)</f>
        <v/>
      </c>
      <c r="N82">
        <f>SUMIFS($E$2:$E$548,$C$2:$C$548,C82,$I$2:$I$548,I82)</f>
        <v/>
      </c>
      <c r="O82">
        <f>IF(J82="Merchant not found","Merchant not found",IF(AND(N82&gt;5000,L82&lt;&gt;"East"),"High-Value Merchant Day","Normal Merchant Day"))</f>
        <v/>
      </c>
    </row>
    <row r="83">
      <c r="A83" t="inlineStr">
        <is>
          <t>TXN100081</t>
        </is>
      </c>
      <c r="B83" t="n">
        <v>302</v>
      </c>
      <c r="C83" t="n">
        <v>34</v>
      </c>
      <c r="D83" s="3" t="n">
        <v>46046.63680555556</v>
      </c>
      <c r="E83" t="n">
        <v>49</v>
      </c>
      <c r="F83" t="inlineStr">
        <is>
          <t>Netbanking</t>
        </is>
      </c>
      <c r="G83" t="inlineStr">
        <is>
          <t>captured</t>
        </is>
      </c>
      <c r="H83" t="n">
        <v>76</v>
      </c>
      <c r="I83" s="4">
        <f>INT(D83)</f>
        <v/>
      </c>
      <c r="J83">
        <f>IFERROR(VLOOKUP(C83,Merchants!$A$2:$D$41,2,FALSE),"Merchant not found")</f>
        <v/>
      </c>
      <c r="K83">
        <f>IFERROR(VLOOKUP(C83,Merchants!$A$2:$D$41,3,FALSE),"Merchant not found")</f>
        <v/>
      </c>
      <c r="L83">
        <f>IFERROR(VLOOKUP(C83,Merchants!$A$2:$D$41,4,FALSE),"Merchant not found")</f>
        <v/>
      </c>
      <c r="M83" s="5">
        <f>HLOOKUP(F83,Fee_Reference!$B$1:$E$2,2,FALSE)</f>
        <v/>
      </c>
      <c r="N83">
        <f>SUMIFS($E$2:$E$548,$C$2:$C$548,C83,$I$2:$I$548,I83)</f>
        <v/>
      </c>
      <c r="O83">
        <f>IF(J83="Merchant not found","Merchant not found",IF(AND(N83&gt;5000,L83&lt;&gt;"East"),"High-Value Merchant Day","Normal Merchant Day"))</f>
        <v/>
      </c>
    </row>
    <row r="84">
      <c r="A84" t="inlineStr">
        <is>
          <t>TXN100082</t>
        </is>
      </c>
      <c r="B84" t="n">
        <v>100</v>
      </c>
      <c r="C84" t="n">
        <v>19</v>
      </c>
      <c r="D84" s="3" t="n">
        <v>46032.16180555556</v>
      </c>
      <c r="E84" t="n">
        <v>2999</v>
      </c>
      <c r="F84" t="inlineStr">
        <is>
          <t>Netbanking</t>
        </is>
      </c>
      <c r="G84" t="inlineStr">
        <is>
          <t>captured</t>
        </is>
      </c>
      <c r="H84" t="n">
        <v>29</v>
      </c>
      <c r="I84" s="4">
        <f>INT(D84)</f>
        <v/>
      </c>
      <c r="J84">
        <f>IFERROR(VLOOKUP(C84,Merchants!$A$2:$D$41,2,FALSE),"Merchant not found")</f>
        <v/>
      </c>
      <c r="K84">
        <f>IFERROR(VLOOKUP(C84,Merchants!$A$2:$D$41,3,FALSE),"Merchant not found")</f>
        <v/>
      </c>
      <c r="L84">
        <f>IFERROR(VLOOKUP(C84,Merchants!$A$2:$D$41,4,FALSE),"Merchant not found")</f>
        <v/>
      </c>
      <c r="M84" s="5">
        <f>HLOOKUP(F84,Fee_Reference!$B$1:$E$2,2,FALSE)</f>
        <v/>
      </c>
      <c r="N84">
        <f>SUMIFS($E$2:$E$548,$C$2:$C$548,C84,$I$2:$I$548,I84)</f>
        <v/>
      </c>
      <c r="O84">
        <f>IF(J84="Merchant not found","Merchant not found",IF(AND(N84&gt;5000,L84&lt;&gt;"East"),"High-Value Merchant Day","Normal Merchant Day"))</f>
        <v/>
      </c>
    </row>
    <row r="85">
      <c r="A85" t="inlineStr">
        <is>
          <t>TXN100083</t>
        </is>
      </c>
      <c r="B85" t="n">
        <v>8</v>
      </c>
      <c r="C85" t="n">
        <v>35</v>
      </c>
      <c r="D85" s="3" t="n">
        <v>46034.22152777778</v>
      </c>
      <c r="E85" t="n">
        <v>99</v>
      </c>
      <c r="F85" t="inlineStr">
        <is>
          <t>UPI</t>
        </is>
      </c>
      <c r="G85" t="inlineStr">
        <is>
          <t>captured</t>
        </is>
      </c>
      <c r="H85" t="n">
        <v>16</v>
      </c>
      <c r="I85" s="4">
        <f>INT(D85)</f>
        <v/>
      </c>
      <c r="J85">
        <f>IFERROR(VLOOKUP(C85,Merchants!$A$2:$D$41,2,FALSE),"Merchant not found")</f>
        <v/>
      </c>
      <c r="K85">
        <f>IFERROR(VLOOKUP(C85,Merchants!$A$2:$D$41,3,FALSE),"Merchant not found")</f>
        <v/>
      </c>
      <c r="L85">
        <f>IFERROR(VLOOKUP(C85,Merchants!$A$2:$D$41,4,FALSE),"Merchant not found")</f>
        <v/>
      </c>
      <c r="M85" s="5">
        <f>HLOOKUP(F85,Fee_Reference!$B$1:$E$2,2,FALSE)</f>
        <v/>
      </c>
      <c r="N85">
        <f>SUMIFS($E$2:$E$548,$C$2:$C$548,C85,$I$2:$I$548,I85)</f>
        <v/>
      </c>
      <c r="O85">
        <f>IF(J85="Merchant not found","Merchant not found",IF(AND(N85&gt;5000,L85&lt;&gt;"East"),"High-Value Merchant Day","Normal Merchant Day"))</f>
        <v/>
      </c>
    </row>
    <row r="86">
      <c r="A86" t="inlineStr">
        <is>
          <t>TXN100084</t>
        </is>
      </c>
      <c r="B86" t="n">
        <v>284</v>
      </c>
      <c r="C86" t="n">
        <v>19</v>
      </c>
      <c r="D86" s="3" t="n">
        <v>46031.04375</v>
      </c>
      <c r="E86" t="n">
        <v>99</v>
      </c>
      <c r="F86" t="inlineStr">
        <is>
          <t>UPI</t>
        </is>
      </c>
      <c r="G86" t="inlineStr">
        <is>
          <t>captured</t>
        </is>
      </c>
      <c r="H86" t="n">
        <v>89</v>
      </c>
      <c r="I86" s="4">
        <f>INT(D86)</f>
        <v/>
      </c>
      <c r="J86">
        <f>IFERROR(VLOOKUP(C86,Merchants!$A$2:$D$41,2,FALSE),"Merchant not found")</f>
        <v/>
      </c>
      <c r="K86">
        <f>IFERROR(VLOOKUP(C86,Merchants!$A$2:$D$41,3,FALSE),"Merchant not found")</f>
        <v/>
      </c>
      <c r="L86">
        <f>IFERROR(VLOOKUP(C86,Merchants!$A$2:$D$41,4,FALSE),"Merchant not found")</f>
        <v/>
      </c>
      <c r="M86" s="5">
        <f>HLOOKUP(F86,Fee_Reference!$B$1:$E$2,2,FALSE)</f>
        <v/>
      </c>
      <c r="N86">
        <f>SUMIFS($E$2:$E$548,$C$2:$C$548,C86,$I$2:$I$548,I86)</f>
        <v/>
      </c>
      <c r="O86">
        <f>IF(J86="Merchant not found","Merchant not found",IF(AND(N86&gt;5000,L86&lt;&gt;"East"),"High-Value Merchant Day","Normal Merchant Day"))</f>
        <v/>
      </c>
    </row>
    <row r="87">
      <c r="A87" t="inlineStr">
        <is>
          <t>TXN100085</t>
        </is>
      </c>
      <c r="B87" t="n">
        <v>252</v>
      </c>
      <c r="C87" t="n">
        <v>7</v>
      </c>
      <c r="D87" s="3" t="n">
        <v>46027.87152777778</v>
      </c>
      <c r="E87" t="n">
        <v>2999</v>
      </c>
      <c r="F87" t="inlineStr">
        <is>
          <t>Wallet</t>
        </is>
      </c>
      <c r="G87" t="inlineStr">
        <is>
          <t>captured</t>
        </is>
      </c>
      <c r="H87" t="n">
        <v>1</v>
      </c>
      <c r="I87" s="4">
        <f>INT(D87)</f>
        <v/>
      </c>
      <c r="J87">
        <f>IFERROR(VLOOKUP(C87,Merchants!$A$2:$D$41,2,FALSE),"Merchant not found")</f>
        <v/>
      </c>
      <c r="K87">
        <f>IFERROR(VLOOKUP(C87,Merchants!$A$2:$D$41,3,FALSE),"Merchant not found")</f>
        <v/>
      </c>
      <c r="L87">
        <f>IFERROR(VLOOKUP(C87,Merchants!$A$2:$D$41,4,FALSE),"Merchant not found")</f>
        <v/>
      </c>
      <c r="M87" s="5">
        <f>HLOOKUP(F87,Fee_Reference!$B$1:$E$2,2,FALSE)</f>
        <v/>
      </c>
      <c r="N87">
        <f>SUMIFS($E$2:$E$548,$C$2:$C$548,C87,$I$2:$I$548,I87)</f>
        <v/>
      </c>
      <c r="O87">
        <f>IF(J87="Merchant not found","Merchant not found",IF(AND(N87&gt;5000,L87&lt;&gt;"East"),"High-Value Merchant Day","Normal Merchant Day"))</f>
        <v/>
      </c>
    </row>
    <row r="88">
      <c r="A88" t="inlineStr">
        <is>
          <t>TXN100086</t>
        </is>
      </c>
      <c r="B88" t="n">
        <v>246</v>
      </c>
      <c r="C88" t="n">
        <v>29</v>
      </c>
      <c r="D88" s="3" t="n">
        <v>46041.39583333334</v>
      </c>
      <c r="E88" t="n">
        <v>49</v>
      </c>
      <c r="F88" t="inlineStr">
        <is>
          <t>Wallet</t>
        </is>
      </c>
      <c r="G88" t="inlineStr">
        <is>
          <t>captured</t>
        </is>
      </c>
      <c r="H88" t="n">
        <v>43</v>
      </c>
      <c r="I88" s="4">
        <f>INT(D88)</f>
        <v/>
      </c>
      <c r="J88">
        <f>IFERROR(VLOOKUP(C88,Merchants!$A$2:$D$41,2,FALSE),"Merchant not found")</f>
        <v/>
      </c>
      <c r="K88">
        <f>IFERROR(VLOOKUP(C88,Merchants!$A$2:$D$41,3,FALSE),"Merchant not found")</f>
        <v/>
      </c>
      <c r="L88">
        <f>IFERROR(VLOOKUP(C88,Merchants!$A$2:$D$41,4,FALSE),"Merchant not found")</f>
        <v/>
      </c>
      <c r="M88" s="5">
        <f>HLOOKUP(F88,Fee_Reference!$B$1:$E$2,2,FALSE)</f>
        <v/>
      </c>
      <c r="N88">
        <f>SUMIFS($E$2:$E$548,$C$2:$C$548,C88,$I$2:$I$548,I88)</f>
        <v/>
      </c>
      <c r="O88">
        <f>IF(J88="Merchant not found","Merchant not found",IF(AND(N88&gt;5000,L88&lt;&gt;"East"),"High-Value Merchant Day","Normal Merchant Day"))</f>
        <v/>
      </c>
    </row>
    <row r="89">
      <c r="A89" t="inlineStr">
        <is>
          <t>TXN100087</t>
        </is>
      </c>
      <c r="B89" t="n">
        <v>245</v>
      </c>
      <c r="C89" t="n">
        <v>8</v>
      </c>
      <c r="D89" s="3" t="n">
        <v>46028.05277777778</v>
      </c>
      <c r="E89" t="n">
        <v>49</v>
      </c>
      <c r="F89" t="inlineStr">
        <is>
          <t>UPI</t>
        </is>
      </c>
      <c r="G89" t="inlineStr">
        <is>
          <t>chargeback</t>
        </is>
      </c>
      <c r="H89" t="n">
        <v>8</v>
      </c>
      <c r="I89" s="4">
        <f>INT(D89)</f>
        <v/>
      </c>
      <c r="J89">
        <f>IFERROR(VLOOKUP(C89,Merchants!$A$2:$D$41,2,FALSE),"Merchant not found")</f>
        <v/>
      </c>
      <c r="K89">
        <f>IFERROR(VLOOKUP(C89,Merchants!$A$2:$D$41,3,FALSE),"Merchant not found")</f>
        <v/>
      </c>
      <c r="L89">
        <f>IFERROR(VLOOKUP(C89,Merchants!$A$2:$D$41,4,FALSE),"Merchant not found")</f>
        <v/>
      </c>
      <c r="M89" s="5">
        <f>HLOOKUP(F89,Fee_Reference!$B$1:$E$2,2,FALSE)</f>
        <v/>
      </c>
      <c r="N89">
        <f>SUMIFS($E$2:$E$548,$C$2:$C$548,C89,$I$2:$I$548,I89)</f>
        <v/>
      </c>
      <c r="O89">
        <f>IF(J89="Merchant not found","Merchant not found",IF(AND(N89&gt;5000,L89&lt;&gt;"East"),"High-Value Merchant Day","Normal Merchant Day"))</f>
        <v/>
      </c>
    </row>
    <row r="90">
      <c r="A90" t="inlineStr">
        <is>
          <t>TXN100088</t>
        </is>
      </c>
      <c r="B90" t="n">
        <v>296</v>
      </c>
      <c r="C90" t="n">
        <v>4</v>
      </c>
      <c r="D90" s="3" t="n">
        <v>46035.62777777778</v>
      </c>
      <c r="E90" t="n">
        <v>799</v>
      </c>
      <c r="F90" t="inlineStr">
        <is>
          <t>Wallet</t>
        </is>
      </c>
      <c r="G90" t="inlineStr">
        <is>
          <t>captured</t>
        </is>
      </c>
      <c r="H90" t="n">
        <v>19</v>
      </c>
      <c r="I90" s="4">
        <f>INT(D90)</f>
        <v/>
      </c>
      <c r="J90">
        <f>IFERROR(VLOOKUP(C90,Merchants!$A$2:$D$41,2,FALSE),"Merchant not found")</f>
        <v/>
      </c>
      <c r="K90">
        <f>IFERROR(VLOOKUP(C90,Merchants!$A$2:$D$41,3,FALSE),"Merchant not found")</f>
        <v/>
      </c>
      <c r="L90">
        <f>IFERROR(VLOOKUP(C90,Merchants!$A$2:$D$41,4,FALSE),"Merchant not found")</f>
        <v/>
      </c>
      <c r="M90" s="5">
        <f>HLOOKUP(F90,Fee_Reference!$B$1:$E$2,2,FALSE)</f>
        <v/>
      </c>
      <c r="N90">
        <f>SUMIFS($E$2:$E$548,$C$2:$C$548,C90,$I$2:$I$548,I90)</f>
        <v/>
      </c>
      <c r="O90">
        <f>IF(J90="Merchant not found","Merchant not found",IF(AND(N90&gt;5000,L90&lt;&gt;"East"),"High-Value Merchant Day","Normal Merchant Day"))</f>
        <v/>
      </c>
    </row>
    <row r="91">
      <c r="A91" t="inlineStr">
        <is>
          <t>TXN100089</t>
        </is>
      </c>
      <c r="B91" t="n">
        <v>44</v>
      </c>
      <c r="C91" t="n">
        <v>16</v>
      </c>
      <c r="D91" s="3" t="n">
        <v>46027.76319444444</v>
      </c>
      <c r="E91" t="n">
        <v>149</v>
      </c>
      <c r="F91" t="inlineStr">
        <is>
          <t>UPI</t>
        </is>
      </c>
      <c r="G91" t="inlineStr">
        <is>
          <t>captured</t>
        </is>
      </c>
      <c r="H91" t="n">
        <v>15</v>
      </c>
      <c r="I91" s="4">
        <f>INT(D91)</f>
        <v/>
      </c>
      <c r="J91">
        <f>IFERROR(VLOOKUP(C91,Merchants!$A$2:$D$41,2,FALSE),"Merchant not found")</f>
        <v/>
      </c>
      <c r="K91">
        <f>IFERROR(VLOOKUP(C91,Merchants!$A$2:$D$41,3,FALSE),"Merchant not found")</f>
        <v/>
      </c>
      <c r="L91">
        <f>IFERROR(VLOOKUP(C91,Merchants!$A$2:$D$41,4,FALSE),"Merchant not found")</f>
        <v/>
      </c>
      <c r="M91" s="5">
        <f>HLOOKUP(F91,Fee_Reference!$B$1:$E$2,2,FALSE)</f>
        <v/>
      </c>
      <c r="N91">
        <f>SUMIFS($E$2:$E$548,$C$2:$C$548,C91,$I$2:$I$548,I91)</f>
        <v/>
      </c>
      <c r="O91">
        <f>IF(J91="Merchant not found","Merchant not found",IF(AND(N91&gt;5000,L91&lt;&gt;"East"),"High-Value Merchant Day","Normal Merchant Day"))</f>
        <v/>
      </c>
    </row>
    <row r="92">
      <c r="A92" t="inlineStr">
        <is>
          <t>TXN100090</t>
        </is>
      </c>
      <c r="B92" t="n">
        <v>306</v>
      </c>
      <c r="C92" t="n">
        <v>40</v>
      </c>
      <c r="D92" s="3" t="n">
        <v>46040.56805555556</v>
      </c>
      <c r="E92" t="n">
        <v>799</v>
      </c>
      <c r="F92" t="inlineStr">
        <is>
          <t>Card</t>
        </is>
      </c>
      <c r="G92" t="inlineStr">
        <is>
          <t>captured</t>
        </is>
      </c>
      <c r="H92" t="n">
        <v>28</v>
      </c>
      <c r="I92" s="4">
        <f>INT(D92)</f>
        <v/>
      </c>
      <c r="J92">
        <f>IFERROR(VLOOKUP(C92,Merchants!$A$2:$D$41,2,FALSE),"Merchant not found")</f>
        <v/>
      </c>
      <c r="K92">
        <f>IFERROR(VLOOKUP(C92,Merchants!$A$2:$D$41,3,FALSE),"Merchant not found")</f>
        <v/>
      </c>
      <c r="L92">
        <f>IFERROR(VLOOKUP(C92,Merchants!$A$2:$D$41,4,FALSE),"Merchant not found")</f>
        <v/>
      </c>
      <c r="M92" s="5">
        <f>HLOOKUP(F92,Fee_Reference!$B$1:$E$2,2,FALSE)</f>
        <v/>
      </c>
      <c r="N92">
        <f>SUMIFS($E$2:$E$548,$C$2:$C$548,C92,$I$2:$I$548,I92)</f>
        <v/>
      </c>
      <c r="O92">
        <f>IF(J92="Merchant not found","Merchant not found",IF(AND(N92&gt;5000,L92&lt;&gt;"East"),"High-Value Merchant Day","Normal Merchant Day"))</f>
        <v/>
      </c>
    </row>
    <row r="93">
      <c r="A93" t="inlineStr">
        <is>
          <t>TXN100091</t>
        </is>
      </c>
      <c r="B93" t="n">
        <v>231</v>
      </c>
      <c r="C93" t="n">
        <v>29</v>
      </c>
      <c r="D93" s="3" t="n">
        <v>46047.68333333333</v>
      </c>
      <c r="E93" t="n">
        <v>299</v>
      </c>
      <c r="F93" t="inlineStr">
        <is>
          <t>UPI</t>
        </is>
      </c>
      <c r="G93" t="inlineStr">
        <is>
          <t>captured</t>
        </is>
      </c>
      <c r="H93" t="n">
        <v>38</v>
      </c>
      <c r="I93" s="4">
        <f>INT(D93)</f>
        <v/>
      </c>
      <c r="J93">
        <f>IFERROR(VLOOKUP(C93,Merchants!$A$2:$D$41,2,FALSE),"Merchant not found")</f>
        <v/>
      </c>
      <c r="K93">
        <f>IFERROR(VLOOKUP(C93,Merchants!$A$2:$D$41,3,FALSE),"Merchant not found")</f>
        <v/>
      </c>
      <c r="L93">
        <f>IFERROR(VLOOKUP(C93,Merchants!$A$2:$D$41,4,FALSE),"Merchant not found")</f>
        <v/>
      </c>
      <c r="M93" s="5">
        <f>HLOOKUP(F93,Fee_Reference!$B$1:$E$2,2,FALSE)</f>
        <v/>
      </c>
      <c r="N93">
        <f>SUMIFS($E$2:$E$548,$C$2:$C$548,C93,$I$2:$I$548,I93)</f>
        <v/>
      </c>
      <c r="O93">
        <f>IF(J93="Merchant not found","Merchant not found",IF(AND(N93&gt;5000,L93&lt;&gt;"East"),"High-Value Merchant Day","Normal Merchant Day"))</f>
        <v/>
      </c>
    </row>
    <row r="94">
      <c r="A94" t="inlineStr">
        <is>
          <t>TXN100092</t>
        </is>
      </c>
      <c r="B94" t="n">
        <v>157</v>
      </c>
      <c r="C94" t="n">
        <v>37</v>
      </c>
      <c r="D94" s="3" t="n">
        <v>46050.76875</v>
      </c>
      <c r="E94" t="n">
        <v>499</v>
      </c>
      <c r="F94" t="inlineStr">
        <is>
          <t>Wallet</t>
        </is>
      </c>
      <c r="G94" t="inlineStr">
        <is>
          <t>captured</t>
        </is>
      </c>
      <c r="H94" t="n">
        <v>79</v>
      </c>
      <c r="I94" s="4">
        <f>INT(D94)</f>
        <v/>
      </c>
      <c r="J94">
        <f>IFERROR(VLOOKUP(C94,Merchants!$A$2:$D$41,2,FALSE),"Merchant not found")</f>
        <v/>
      </c>
      <c r="K94">
        <f>IFERROR(VLOOKUP(C94,Merchants!$A$2:$D$41,3,FALSE),"Merchant not found")</f>
        <v/>
      </c>
      <c r="L94">
        <f>IFERROR(VLOOKUP(C94,Merchants!$A$2:$D$41,4,FALSE),"Merchant not found")</f>
        <v/>
      </c>
      <c r="M94" s="5">
        <f>HLOOKUP(F94,Fee_Reference!$B$1:$E$2,2,FALSE)</f>
        <v/>
      </c>
      <c r="N94">
        <f>SUMIFS($E$2:$E$548,$C$2:$C$548,C94,$I$2:$I$548,I94)</f>
        <v/>
      </c>
      <c r="O94">
        <f>IF(J94="Merchant not found","Merchant not found",IF(AND(N94&gt;5000,L94&lt;&gt;"East"),"High-Value Merchant Day","Normal Merchant Day"))</f>
        <v/>
      </c>
    </row>
    <row r="95">
      <c r="A95" t="inlineStr">
        <is>
          <t>TXN100093</t>
        </is>
      </c>
      <c r="B95" t="n">
        <v>51</v>
      </c>
      <c r="C95" t="n">
        <v>14</v>
      </c>
      <c r="D95" s="3" t="n">
        <v>46024.82430555556</v>
      </c>
      <c r="E95" t="n">
        <v>1499</v>
      </c>
      <c r="F95" t="inlineStr">
        <is>
          <t>UPI</t>
        </is>
      </c>
      <c r="G95" t="inlineStr">
        <is>
          <t>captured</t>
        </is>
      </c>
      <c r="H95" t="n">
        <v>80</v>
      </c>
      <c r="I95" s="4">
        <f>INT(D95)</f>
        <v/>
      </c>
      <c r="J95">
        <f>IFERROR(VLOOKUP(C95,Merchants!$A$2:$D$41,2,FALSE),"Merchant not found")</f>
        <v/>
      </c>
      <c r="K95">
        <f>IFERROR(VLOOKUP(C95,Merchants!$A$2:$D$41,3,FALSE),"Merchant not found")</f>
        <v/>
      </c>
      <c r="L95">
        <f>IFERROR(VLOOKUP(C95,Merchants!$A$2:$D$41,4,FALSE),"Merchant not found")</f>
        <v/>
      </c>
      <c r="M95" s="5">
        <f>HLOOKUP(F95,Fee_Reference!$B$1:$E$2,2,FALSE)</f>
        <v/>
      </c>
      <c r="N95">
        <f>SUMIFS($E$2:$E$548,$C$2:$C$548,C95,$I$2:$I$548,I95)</f>
        <v/>
      </c>
      <c r="O95">
        <f>IF(J95="Merchant not found","Merchant not found",IF(AND(N95&gt;5000,L95&lt;&gt;"East"),"High-Value Merchant Day","Normal Merchant Day"))</f>
        <v/>
      </c>
    </row>
    <row r="96">
      <c r="A96" t="inlineStr">
        <is>
          <t>TXN100094</t>
        </is>
      </c>
      <c r="B96" t="n">
        <v>42</v>
      </c>
      <c r="C96" t="n">
        <v>11</v>
      </c>
      <c r="D96" s="3" t="n">
        <v>46029.3625</v>
      </c>
      <c r="E96" t="n">
        <v>49</v>
      </c>
      <c r="F96" t="inlineStr">
        <is>
          <t>Wallet</t>
        </is>
      </c>
      <c r="G96" t="inlineStr">
        <is>
          <t>captured</t>
        </is>
      </c>
      <c r="H96" t="n">
        <v>30</v>
      </c>
      <c r="I96" s="4">
        <f>INT(D96)</f>
        <v/>
      </c>
      <c r="J96">
        <f>IFERROR(VLOOKUP(C96,Merchants!$A$2:$D$41,2,FALSE),"Merchant not found")</f>
        <v/>
      </c>
      <c r="K96">
        <f>IFERROR(VLOOKUP(C96,Merchants!$A$2:$D$41,3,FALSE),"Merchant not found")</f>
        <v/>
      </c>
      <c r="L96">
        <f>IFERROR(VLOOKUP(C96,Merchants!$A$2:$D$41,4,FALSE),"Merchant not found")</f>
        <v/>
      </c>
      <c r="M96" s="5">
        <f>HLOOKUP(F96,Fee_Reference!$B$1:$E$2,2,FALSE)</f>
        <v/>
      </c>
      <c r="N96">
        <f>SUMIFS($E$2:$E$548,$C$2:$C$548,C96,$I$2:$I$548,I96)</f>
        <v/>
      </c>
      <c r="O96">
        <f>IF(J96="Merchant not found","Merchant not found",IF(AND(N96&gt;5000,L96&lt;&gt;"East"),"High-Value Merchant Day","Normal Merchant Day"))</f>
        <v/>
      </c>
    </row>
    <row r="97">
      <c r="A97" t="inlineStr">
        <is>
          <t>TXN100095</t>
        </is>
      </c>
      <c r="B97" t="n">
        <v>81</v>
      </c>
      <c r="C97" t="n">
        <v>1</v>
      </c>
      <c r="D97" s="3" t="n">
        <v>46028.71111111111</v>
      </c>
      <c r="E97" t="n">
        <v>149</v>
      </c>
      <c r="F97" t="inlineStr">
        <is>
          <t>UPI</t>
        </is>
      </c>
      <c r="G97" t="inlineStr">
        <is>
          <t>captured</t>
        </is>
      </c>
      <c r="H97" t="n">
        <v>52</v>
      </c>
      <c r="I97" s="4">
        <f>INT(D97)</f>
        <v/>
      </c>
      <c r="J97">
        <f>IFERROR(VLOOKUP(C97,Merchants!$A$2:$D$41,2,FALSE),"Merchant not found")</f>
        <v/>
      </c>
      <c r="K97">
        <f>IFERROR(VLOOKUP(C97,Merchants!$A$2:$D$41,3,FALSE),"Merchant not found")</f>
        <v/>
      </c>
      <c r="L97">
        <f>IFERROR(VLOOKUP(C97,Merchants!$A$2:$D$41,4,FALSE),"Merchant not found")</f>
        <v/>
      </c>
      <c r="M97" s="5">
        <f>HLOOKUP(F97,Fee_Reference!$B$1:$E$2,2,FALSE)</f>
        <v/>
      </c>
      <c r="N97">
        <f>SUMIFS($E$2:$E$548,$C$2:$C$548,C97,$I$2:$I$548,I97)</f>
        <v/>
      </c>
      <c r="O97">
        <f>IF(J97="Merchant not found","Merchant not found",IF(AND(N97&gt;5000,L97&lt;&gt;"East"),"High-Value Merchant Day","Normal Merchant Day"))</f>
        <v/>
      </c>
    </row>
    <row r="98">
      <c r="A98" t="inlineStr">
        <is>
          <t>TXN100096</t>
        </is>
      </c>
      <c r="B98" t="n">
        <v>241</v>
      </c>
      <c r="C98" t="n">
        <v>19</v>
      </c>
      <c r="D98" s="3" t="n">
        <v>46037.94305555556</v>
      </c>
      <c r="E98" t="n">
        <v>299</v>
      </c>
      <c r="F98" t="inlineStr">
        <is>
          <t>UPI</t>
        </is>
      </c>
      <c r="G98" t="inlineStr">
        <is>
          <t>captured</t>
        </is>
      </c>
      <c r="H98" t="n">
        <v>4</v>
      </c>
      <c r="I98" s="4">
        <f>INT(D98)</f>
        <v/>
      </c>
      <c r="J98">
        <f>IFERROR(VLOOKUP(C98,Merchants!$A$2:$D$41,2,FALSE),"Merchant not found")</f>
        <v/>
      </c>
      <c r="K98">
        <f>IFERROR(VLOOKUP(C98,Merchants!$A$2:$D$41,3,FALSE),"Merchant not found")</f>
        <v/>
      </c>
      <c r="L98">
        <f>IFERROR(VLOOKUP(C98,Merchants!$A$2:$D$41,4,FALSE),"Merchant not found")</f>
        <v/>
      </c>
      <c r="M98" s="5">
        <f>HLOOKUP(F98,Fee_Reference!$B$1:$E$2,2,FALSE)</f>
        <v/>
      </c>
      <c r="N98">
        <f>SUMIFS($E$2:$E$548,$C$2:$C$548,C98,$I$2:$I$548,I98)</f>
        <v/>
      </c>
      <c r="O98">
        <f>IF(J98="Merchant not found","Merchant not found",IF(AND(N98&gt;5000,L98&lt;&gt;"East"),"High-Value Merchant Day","Normal Merchant Day"))</f>
        <v/>
      </c>
    </row>
    <row r="99">
      <c r="A99" t="inlineStr">
        <is>
          <t>TXN100097</t>
        </is>
      </c>
      <c r="B99" t="n">
        <v>145</v>
      </c>
      <c r="C99" t="n">
        <v>30</v>
      </c>
      <c r="D99" s="3" t="n">
        <v>46030.40625</v>
      </c>
      <c r="E99" t="n">
        <v>799</v>
      </c>
      <c r="F99" t="inlineStr">
        <is>
          <t>UPI</t>
        </is>
      </c>
      <c r="G99" t="inlineStr">
        <is>
          <t>captured</t>
        </is>
      </c>
      <c r="H99" t="n">
        <v>9</v>
      </c>
      <c r="I99" s="4">
        <f>INT(D99)</f>
        <v/>
      </c>
      <c r="J99">
        <f>IFERROR(VLOOKUP(C99,Merchants!$A$2:$D$41,2,FALSE),"Merchant not found")</f>
        <v/>
      </c>
      <c r="K99">
        <f>IFERROR(VLOOKUP(C99,Merchants!$A$2:$D$41,3,FALSE),"Merchant not found")</f>
        <v/>
      </c>
      <c r="L99">
        <f>IFERROR(VLOOKUP(C99,Merchants!$A$2:$D$41,4,FALSE),"Merchant not found")</f>
        <v/>
      </c>
      <c r="M99" s="5">
        <f>HLOOKUP(F99,Fee_Reference!$B$1:$E$2,2,FALSE)</f>
        <v/>
      </c>
      <c r="N99">
        <f>SUMIFS($E$2:$E$548,$C$2:$C$548,C99,$I$2:$I$548,I99)</f>
        <v/>
      </c>
      <c r="O99">
        <f>IF(J99="Merchant not found","Merchant not found",IF(AND(N99&gt;5000,L99&lt;&gt;"East"),"High-Value Merchant Day","Normal Merchant Day"))</f>
        <v/>
      </c>
    </row>
    <row r="100">
      <c r="A100" t="inlineStr">
        <is>
          <t>TXN100098</t>
        </is>
      </c>
      <c r="B100" t="n">
        <v>136</v>
      </c>
      <c r="C100" t="n">
        <v>38</v>
      </c>
      <c r="D100" s="3" t="n">
        <v>46044.33263888889</v>
      </c>
      <c r="E100" t="n">
        <v>299</v>
      </c>
      <c r="F100" t="inlineStr">
        <is>
          <t>Card</t>
        </is>
      </c>
      <c r="G100" t="inlineStr">
        <is>
          <t>captured</t>
        </is>
      </c>
      <c r="H100" t="n">
        <v>84</v>
      </c>
      <c r="I100" s="4">
        <f>INT(D100)</f>
        <v/>
      </c>
      <c r="J100">
        <f>IFERROR(VLOOKUP(C100,Merchants!$A$2:$D$41,2,FALSE),"Merchant not found")</f>
        <v/>
      </c>
      <c r="K100">
        <f>IFERROR(VLOOKUP(C100,Merchants!$A$2:$D$41,3,FALSE),"Merchant not found")</f>
        <v/>
      </c>
      <c r="L100">
        <f>IFERROR(VLOOKUP(C100,Merchants!$A$2:$D$41,4,FALSE),"Merchant not found")</f>
        <v/>
      </c>
      <c r="M100" s="5">
        <f>HLOOKUP(F100,Fee_Reference!$B$1:$E$2,2,FALSE)</f>
        <v/>
      </c>
      <c r="N100">
        <f>SUMIFS($E$2:$E$548,$C$2:$C$548,C100,$I$2:$I$548,I100)</f>
        <v/>
      </c>
      <c r="O100">
        <f>IF(J100="Merchant not found","Merchant not found",IF(AND(N100&gt;5000,L100&lt;&gt;"East"),"High-Value Merchant Day","Normal Merchant Day"))</f>
        <v/>
      </c>
    </row>
    <row r="101">
      <c r="A101" t="inlineStr">
        <is>
          <t>TXN100099</t>
        </is>
      </c>
      <c r="B101" t="n">
        <v>59</v>
      </c>
      <c r="C101" t="n">
        <v>35</v>
      </c>
      <c r="D101" s="3" t="n">
        <v>46048.26875</v>
      </c>
      <c r="E101" t="n">
        <v>499</v>
      </c>
      <c r="F101" t="inlineStr">
        <is>
          <t>UPI</t>
        </is>
      </c>
      <c r="G101" t="inlineStr">
        <is>
          <t>captured</t>
        </is>
      </c>
      <c r="H101" t="n">
        <v>28</v>
      </c>
      <c r="I101" s="4">
        <f>INT(D101)</f>
        <v/>
      </c>
      <c r="J101">
        <f>IFERROR(VLOOKUP(C101,Merchants!$A$2:$D$41,2,FALSE),"Merchant not found")</f>
        <v/>
      </c>
      <c r="K101">
        <f>IFERROR(VLOOKUP(C101,Merchants!$A$2:$D$41,3,FALSE),"Merchant not found")</f>
        <v/>
      </c>
      <c r="L101">
        <f>IFERROR(VLOOKUP(C101,Merchants!$A$2:$D$41,4,FALSE),"Merchant not found")</f>
        <v/>
      </c>
      <c r="M101" s="5">
        <f>HLOOKUP(F101,Fee_Reference!$B$1:$E$2,2,FALSE)</f>
        <v/>
      </c>
      <c r="N101">
        <f>SUMIFS($E$2:$E$548,$C$2:$C$548,C101,$I$2:$I$548,I101)</f>
        <v/>
      </c>
      <c r="O101">
        <f>IF(J101="Merchant not found","Merchant not found",IF(AND(N101&gt;5000,L101&lt;&gt;"East"),"High-Value Merchant Day","Normal Merchant Day"))</f>
        <v/>
      </c>
    </row>
    <row r="102">
      <c r="A102" t="inlineStr">
        <is>
          <t>TXN100100</t>
        </is>
      </c>
      <c r="B102" t="n">
        <v>137</v>
      </c>
      <c r="C102" t="n">
        <v>10</v>
      </c>
      <c r="D102" s="3" t="n">
        <v>46043.20694444444</v>
      </c>
      <c r="E102" t="n">
        <v>299</v>
      </c>
      <c r="F102" t="inlineStr">
        <is>
          <t>UPI</t>
        </is>
      </c>
      <c r="G102" t="inlineStr">
        <is>
          <t>captured</t>
        </is>
      </c>
      <c r="H102" t="n">
        <v>9</v>
      </c>
      <c r="I102" s="4">
        <f>INT(D102)</f>
        <v/>
      </c>
      <c r="J102">
        <f>IFERROR(VLOOKUP(C102,Merchants!$A$2:$D$41,2,FALSE),"Merchant not found")</f>
        <v/>
      </c>
      <c r="K102">
        <f>IFERROR(VLOOKUP(C102,Merchants!$A$2:$D$41,3,FALSE),"Merchant not found")</f>
        <v/>
      </c>
      <c r="L102">
        <f>IFERROR(VLOOKUP(C102,Merchants!$A$2:$D$41,4,FALSE),"Merchant not found")</f>
        <v/>
      </c>
      <c r="M102" s="5">
        <f>HLOOKUP(F102,Fee_Reference!$B$1:$E$2,2,FALSE)</f>
        <v/>
      </c>
      <c r="N102">
        <f>SUMIFS($E$2:$E$548,$C$2:$C$548,C102,$I$2:$I$548,I102)</f>
        <v/>
      </c>
      <c r="O102">
        <f>IF(J102="Merchant not found","Merchant not found",IF(AND(N102&gt;5000,L102&lt;&gt;"East"),"High-Value Merchant Day","Normal Merchant Day"))</f>
        <v/>
      </c>
    </row>
    <row r="103">
      <c r="A103" t="inlineStr">
        <is>
          <t>TXN100101</t>
        </is>
      </c>
      <c r="B103" t="n">
        <v>158</v>
      </c>
      <c r="C103" t="n">
        <v>39</v>
      </c>
      <c r="D103" s="3" t="n">
        <v>46024.24305555555</v>
      </c>
      <c r="E103" t="n">
        <v>499</v>
      </c>
      <c r="F103" t="inlineStr">
        <is>
          <t>Netbanking</t>
        </is>
      </c>
      <c r="G103" t="inlineStr">
        <is>
          <t>captured</t>
        </is>
      </c>
      <c r="H103" t="n">
        <v>95</v>
      </c>
      <c r="I103" s="4">
        <f>INT(D103)</f>
        <v/>
      </c>
      <c r="J103">
        <f>IFERROR(VLOOKUP(C103,Merchants!$A$2:$D$41,2,FALSE),"Merchant not found")</f>
        <v/>
      </c>
      <c r="K103">
        <f>IFERROR(VLOOKUP(C103,Merchants!$A$2:$D$41,3,FALSE),"Merchant not found")</f>
        <v/>
      </c>
      <c r="L103">
        <f>IFERROR(VLOOKUP(C103,Merchants!$A$2:$D$41,4,FALSE),"Merchant not found")</f>
        <v/>
      </c>
      <c r="M103" s="5">
        <f>HLOOKUP(F103,Fee_Reference!$B$1:$E$2,2,FALSE)</f>
        <v/>
      </c>
      <c r="N103">
        <f>SUMIFS($E$2:$E$548,$C$2:$C$548,C103,$I$2:$I$548,I103)</f>
        <v/>
      </c>
      <c r="O103">
        <f>IF(J103="Merchant not found","Merchant not found",IF(AND(N103&gt;5000,L103&lt;&gt;"East"),"High-Value Merchant Day","Normal Merchant Day"))</f>
        <v/>
      </c>
    </row>
    <row r="104">
      <c r="A104" t="inlineStr">
        <is>
          <t>TXN100102</t>
        </is>
      </c>
      <c r="B104" t="n">
        <v>148</v>
      </c>
      <c r="C104" t="n">
        <v>29</v>
      </c>
      <c r="D104" s="3" t="n">
        <v>46049.79027777778</v>
      </c>
      <c r="E104" t="n">
        <v>99</v>
      </c>
      <c r="F104" t="inlineStr">
        <is>
          <t>Card</t>
        </is>
      </c>
      <c r="G104" t="inlineStr">
        <is>
          <t>captured</t>
        </is>
      </c>
      <c r="H104" t="n">
        <v>15</v>
      </c>
      <c r="I104" s="4">
        <f>INT(D104)</f>
        <v/>
      </c>
      <c r="J104">
        <f>IFERROR(VLOOKUP(C104,Merchants!$A$2:$D$41,2,FALSE),"Merchant not found")</f>
        <v/>
      </c>
      <c r="K104">
        <f>IFERROR(VLOOKUP(C104,Merchants!$A$2:$D$41,3,FALSE),"Merchant not found")</f>
        <v/>
      </c>
      <c r="L104">
        <f>IFERROR(VLOOKUP(C104,Merchants!$A$2:$D$41,4,FALSE),"Merchant not found")</f>
        <v/>
      </c>
      <c r="M104" s="5">
        <f>HLOOKUP(F104,Fee_Reference!$B$1:$E$2,2,FALSE)</f>
        <v/>
      </c>
      <c r="N104">
        <f>SUMIFS($E$2:$E$548,$C$2:$C$548,C104,$I$2:$I$548,I104)</f>
        <v/>
      </c>
      <c r="O104">
        <f>IF(J104="Merchant not found","Merchant not found",IF(AND(N104&gt;5000,L104&lt;&gt;"East"),"High-Value Merchant Day","Normal Merchant Day"))</f>
        <v/>
      </c>
    </row>
    <row r="105">
      <c r="A105" t="inlineStr">
        <is>
          <t>TXN100103</t>
        </is>
      </c>
      <c r="B105" t="n">
        <v>207</v>
      </c>
      <c r="C105" t="n">
        <v>18</v>
      </c>
      <c r="D105" s="3" t="n">
        <v>46037.92986111111</v>
      </c>
      <c r="E105" t="n">
        <v>149</v>
      </c>
      <c r="F105" t="inlineStr">
        <is>
          <t>UPI</t>
        </is>
      </c>
      <c r="G105" t="inlineStr">
        <is>
          <t>captured</t>
        </is>
      </c>
      <c r="H105" t="n">
        <v>64</v>
      </c>
      <c r="I105" s="4">
        <f>INT(D105)</f>
        <v/>
      </c>
      <c r="J105">
        <f>IFERROR(VLOOKUP(C105,Merchants!$A$2:$D$41,2,FALSE),"Merchant not found")</f>
        <v/>
      </c>
      <c r="K105">
        <f>IFERROR(VLOOKUP(C105,Merchants!$A$2:$D$41,3,FALSE),"Merchant not found")</f>
        <v/>
      </c>
      <c r="L105">
        <f>IFERROR(VLOOKUP(C105,Merchants!$A$2:$D$41,4,FALSE),"Merchant not found")</f>
        <v/>
      </c>
      <c r="M105" s="5">
        <f>HLOOKUP(F105,Fee_Reference!$B$1:$E$2,2,FALSE)</f>
        <v/>
      </c>
      <c r="N105">
        <f>SUMIFS($E$2:$E$548,$C$2:$C$548,C105,$I$2:$I$548,I105)</f>
        <v/>
      </c>
      <c r="O105">
        <f>IF(J105="Merchant not found","Merchant not found",IF(AND(N105&gt;5000,L105&lt;&gt;"East"),"High-Value Merchant Day","Normal Merchant Day"))</f>
        <v/>
      </c>
    </row>
    <row r="106">
      <c r="A106" t="inlineStr">
        <is>
          <t>TXN100104</t>
        </is>
      </c>
      <c r="B106" t="n">
        <v>42</v>
      </c>
      <c r="C106" t="n">
        <v>39</v>
      </c>
      <c r="D106" s="3" t="n">
        <v>46040.64444444444</v>
      </c>
      <c r="E106" t="n">
        <v>2999</v>
      </c>
      <c r="F106" t="inlineStr">
        <is>
          <t>Card</t>
        </is>
      </c>
      <c r="G106" t="inlineStr">
        <is>
          <t>captured</t>
        </is>
      </c>
      <c r="H106" t="n">
        <v>5</v>
      </c>
      <c r="I106" s="4">
        <f>INT(D106)</f>
        <v/>
      </c>
      <c r="J106">
        <f>IFERROR(VLOOKUP(C106,Merchants!$A$2:$D$41,2,FALSE),"Merchant not found")</f>
        <v/>
      </c>
      <c r="K106">
        <f>IFERROR(VLOOKUP(C106,Merchants!$A$2:$D$41,3,FALSE),"Merchant not found")</f>
        <v/>
      </c>
      <c r="L106">
        <f>IFERROR(VLOOKUP(C106,Merchants!$A$2:$D$41,4,FALSE),"Merchant not found")</f>
        <v/>
      </c>
      <c r="M106" s="5">
        <f>HLOOKUP(F106,Fee_Reference!$B$1:$E$2,2,FALSE)</f>
        <v/>
      </c>
      <c r="N106">
        <f>SUMIFS($E$2:$E$548,$C$2:$C$548,C106,$I$2:$I$548,I106)</f>
        <v/>
      </c>
      <c r="O106">
        <f>IF(J106="Merchant not found","Merchant not found",IF(AND(N106&gt;5000,L106&lt;&gt;"East"),"High-Value Merchant Day","Normal Merchant Day"))</f>
        <v/>
      </c>
    </row>
    <row r="107">
      <c r="A107" t="inlineStr">
        <is>
          <t>TXN100105</t>
        </is>
      </c>
      <c r="B107" t="n">
        <v>166</v>
      </c>
      <c r="C107" t="n">
        <v>39</v>
      </c>
      <c r="D107" s="3" t="n">
        <v>46051.57430555556</v>
      </c>
      <c r="E107" t="n">
        <v>149</v>
      </c>
      <c r="F107" t="inlineStr">
        <is>
          <t>UPI</t>
        </is>
      </c>
      <c r="G107" t="inlineStr">
        <is>
          <t>captured</t>
        </is>
      </c>
      <c r="H107" t="n">
        <v>32</v>
      </c>
      <c r="I107" s="4">
        <f>INT(D107)</f>
        <v/>
      </c>
      <c r="J107">
        <f>IFERROR(VLOOKUP(C107,Merchants!$A$2:$D$41,2,FALSE),"Merchant not found")</f>
        <v/>
      </c>
      <c r="K107">
        <f>IFERROR(VLOOKUP(C107,Merchants!$A$2:$D$41,3,FALSE),"Merchant not found")</f>
        <v/>
      </c>
      <c r="L107">
        <f>IFERROR(VLOOKUP(C107,Merchants!$A$2:$D$41,4,FALSE),"Merchant not found")</f>
        <v/>
      </c>
      <c r="M107" s="5">
        <f>HLOOKUP(F107,Fee_Reference!$B$1:$E$2,2,FALSE)</f>
        <v/>
      </c>
      <c r="N107">
        <f>SUMIFS($E$2:$E$548,$C$2:$C$548,C107,$I$2:$I$548,I107)</f>
        <v/>
      </c>
      <c r="O107">
        <f>IF(J107="Merchant not found","Merchant not found",IF(AND(N107&gt;5000,L107&lt;&gt;"East"),"High-Value Merchant Day","Normal Merchant Day"))</f>
        <v/>
      </c>
    </row>
    <row r="108">
      <c r="A108" t="inlineStr">
        <is>
          <t>TXN100106</t>
        </is>
      </c>
      <c r="B108" t="n">
        <v>346</v>
      </c>
      <c r="C108" t="n">
        <v>37</v>
      </c>
      <c r="D108" s="3" t="n">
        <v>46023.09305555555</v>
      </c>
      <c r="E108" t="n">
        <v>99</v>
      </c>
      <c r="F108" t="inlineStr">
        <is>
          <t>UPI</t>
        </is>
      </c>
      <c r="G108" t="inlineStr">
        <is>
          <t>captured</t>
        </is>
      </c>
      <c r="H108" t="n">
        <v>75</v>
      </c>
      <c r="I108" s="4">
        <f>INT(D108)</f>
        <v/>
      </c>
      <c r="J108">
        <f>IFERROR(VLOOKUP(C108,Merchants!$A$2:$D$41,2,FALSE),"Merchant not found")</f>
        <v/>
      </c>
      <c r="K108">
        <f>IFERROR(VLOOKUP(C108,Merchants!$A$2:$D$41,3,FALSE),"Merchant not found")</f>
        <v/>
      </c>
      <c r="L108">
        <f>IFERROR(VLOOKUP(C108,Merchants!$A$2:$D$41,4,FALSE),"Merchant not found")</f>
        <v/>
      </c>
      <c r="M108" s="5">
        <f>HLOOKUP(F108,Fee_Reference!$B$1:$E$2,2,FALSE)</f>
        <v/>
      </c>
      <c r="N108">
        <f>SUMIFS($E$2:$E$548,$C$2:$C$548,C108,$I$2:$I$548,I108)</f>
        <v/>
      </c>
      <c r="O108">
        <f>IF(J108="Merchant not found","Merchant not found",IF(AND(N108&gt;5000,L108&lt;&gt;"East"),"High-Value Merchant Day","Normal Merchant Day"))</f>
        <v/>
      </c>
    </row>
    <row r="109">
      <c r="A109" t="inlineStr">
        <is>
          <t>TXN100107</t>
        </is>
      </c>
      <c r="B109" t="n">
        <v>138</v>
      </c>
      <c r="C109" t="n">
        <v>37</v>
      </c>
      <c r="D109" s="3" t="n">
        <v>46023.91111111111</v>
      </c>
      <c r="E109" t="n">
        <v>499</v>
      </c>
      <c r="F109" t="inlineStr">
        <is>
          <t>UPI</t>
        </is>
      </c>
      <c r="G109" t="inlineStr">
        <is>
          <t>captured</t>
        </is>
      </c>
      <c r="H109" t="n">
        <v>5</v>
      </c>
      <c r="I109" s="4">
        <f>INT(D109)</f>
        <v/>
      </c>
      <c r="J109">
        <f>IFERROR(VLOOKUP(C109,Merchants!$A$2:$D$41,2,FALSE),"Merchant not found")</f>
        <v/>
      </c>
      <c r="K109">
        <f>IFERROR(VLOOKUP(C109,Merchants!$A$2:$D$41,3,FALSE),"Merchant not found")</f>
        <v/>
      </c>
      <c r="L109">
        <f>IFERROR(VLOOKUP(C109,Merchants!$A$2:$D$41,4,FALSE),"Merchant not found")</f>
        <v/>
      </c>
      <c r="M109" s="5">
        <f>HLOOKUP(F109,Fee_Reference!$B$1:$E$2,2,FALSE)</f>
        <v/>
      </c>
      <c r="N109">
        <f>SUMIFS($E$2:$E$548,$C$2:$C$548,C109,$I$2:$I$548,I109)</f>
        <v/>
      </c>
      <c r="O109">
        <f>IF(J109="Merchant not found","Merchant not found",IF(AND(N109&gt;5000,L109&lt;&gt;"East"),"High-Value Merchant Day","Normal Merchant Day"))</f>
        <v/>
      </c>
    </row>
    <row r="110">
      <c r="A110" t="inlineStr">
        <is>
          <t>TXN100108</t>
        </is>
      </c>
      <c r="B110" t="n">
        <v>266</v>
      </c>
      <c r="C110" t="n">
        <v>29</v>
      </c>
      <c r="D110" s="3" t="n">
        <v>46047.22916666666</v>
      </c>
      <c r="E110" t="n">
        <v>499</v>
      </c>
      <c r="F110" t="inlineStr">
        <is>
          <t>Wallet</t>
        </is>
      </c>
      <c r="G110" t="inlineStr">
        <is>
          <t>failed</t>
        </is>
      </c>
      <c r="H110" t="n">
        <v>35</v>
      </c>
      <c r="I110" s="4">
        <f>INT(D110)</f>
        <v/>
      </c>
      <c r="J110">
        <f>IFERROR(VLOOKUP(C110,Merchants!$A$2:$D$41,2,FALSE),"Merchant not found")</f>
        <v/>
      </c>
      <c r="K110">
        <f>IFERROR(VLOOKUP(C110,Merchants!$A$2:$D$41,3,FALSE),"Merchant not found")</f>
        <v/>
      </c>
      <c r="L110">
        <f>IFERROR(VLOOKUP(C110,Merchants!$A$2:$D$41,4,FALSE),"Merchant not found")</f>
        <v/>
      </c>
      <c r="M110" s="5">
        <f>HLOOKUP(F110,Fee_Reference!$B$1:$E$2,2,FALSE)</f>
        <v/>
      </c>
      <c r="N110">
        <f>SUMIFS($E$2:$E$548,$C$2:$C$548,C110,$I$2:$I$548,I110)</f>
        <v/>
      </c>
      <c r="O110">
        <f>IF(J110="Merchant not found","Merchant not found",IF(AND(N110&gt;5000,L110&lt;&gt;"East"),"High-Value Merchant Day","Normal Merchant Day"))</f>
        <v/>
      </c>
    </row>
    <row r="111">
      <c r="A111" t="inlineStr">
        <is>
          <t>TXN100109</t>
        </is>
      </c>
      <c r="B111" t="n">
        <v>326</v>
      </c>
      <c r="C111" t="n">
        <v>32</v>
      </c>
      <c r="D111" s="3" t="n">
        <v>46028.76875</v>
      </c>
      <c r="E111" t="n">
        <v>149</v>
      </c>
      <c r="F111" t="inlineStr">
        <is>
          <t>UPI</t>
        </is>
      </c>
      <c r="G111" t="inlineStr">
        <is>
          <t>captured</t>
        </is>
      </c>
      <c r="H111" t="n">
        <v>11</v>
      </c>
      <c r="I111" s="4">
        <f>INT(D111)</f>
        <v/>
      </c>
      <c r="J111">
        <f>IFERROR(VLOOKUP(C111,Merchants!$A$2:$D$41,2,FALSE),"Merchant not found")</f>
        <v/>
      </c>
      <c r="K111">
        <f>IFERROR(VLOOKUP(C111,Merchants!$A$2:$D$41,3,FALSE),"Merchant not found")</f>
        <v/>
      </c>
      <c r="L111">
        <f>IFERROR(VLOOKUP(C111,Merchants!$A$2:$D$41,4,FALSE),"Merchant not found")</f>
        <v/>
      </c>
      <c r="M111" s="5">
        <f>HLOOKUP(F111,Fee_Reference!$B$1:$E$2,2,FALSE)</f>
        <v/>
      </c>
      <c r="N111">
        <f>SUMIFS($E$2:$E$548,$C$2:$C$548,C111,$I$2:$I$548,I111)</f>
        <v/>
      </c>
      <c r="O111">
        <f>IF(J111="Merchant not found","Merchant not found",IF(AND(N111&gt;5000,L111&lt;&gt;"East"),"High-Value Merchant Day","Normal Merchant Day"))</f>
        <v/>
      </c>
    </row>
    <row r="112">
      <c r="A112" t="inlineStr">
        <is>
          <t>TXN100110</t>
        </is>
      </c>
      <c r="B112" t="n">
        <v>171</v>
      </c>
      <c r="C112" t="n">
        <v>21</v>
      </c>
      <c r="D112" s="3" t="n">
        <v>46038.47638888889</v>
      </c>
      <c r="E112" t="n">
        <v>799</v>
      </c>
      <c r="F112" t="inlineStr">
        <is>
          <t>UPI</t>
        </is>
      </c>
      <c r="G112" t="inlineStr">
        <is>
          <t>captured</t>
        </is>
      </c>
      <c r="H112" t="n">
        <v>85</v>
      </c>
      <c r="I112" s="4">
        <f>INT(D112)</f>
        <v/>
      </c>
      <c r="J112">
        <f>IFERROR(VLOOKUP(C112,Merchants!$A$2:$D$41,2,FALSE),"Merchant not found")</f>
        <v/>
      </c>
      <c r="K112">
        <f>IFERROR(VLOOKUP(C112,Merchants!$A$2:$D$41,3,FALSE),"Merchant not found")</f>
        <v/>
      </c>
      <c r="L112">
        <f>IFERROR(VLOOKUP(C112,Merchants!$A$2:$D$41,4,FALSE),"Merchant not found")</f>
        <v/>
      </c>
      <c r="M112" s="5">
        <f>HLOOKUP(F112,Fee_Reference!$B$1:$E$2,2,FALSE)</f>
        <v/>
      </c>
      <c r="N112">
        <f>SUMIFS($E$2:$E$548,$C$2:$C$548,C112,$I$2:$I$548,I112)</f>
        <v/>
      </c>
      <c r="O112">
        <f>IF(J112="Merchant not found","Merchant not found",IF(AND(N112&gt;5000,L112&lt;&gt;"East"),"High-Value Merchant Day","Normal Merchant Day"))</f>
        <v/>
      </c>
    </row>
    <row r="113">
      <c r="A113" t="inlineStr">
        <is>
          <t>TXN100111</t>
        </is>
      </c>
      <c r="B113" t="n">
        <v>211</v>
      </c>
      <c r="C113" t="n">
        <v>32</v>
      </c>
      <c r="D113" s="3" t="n">
        <v>46026.22291666667</v>
      </c>
      <c r="E113" t="n">
        <v>49</v>
      </c>
      <c r="F113" t="inlineStr">
        <is>
          <t>UPI</t>
        </is>
      </c>
      <c r="G113" t="inlineStr">
        <is>
          <t>captured</t>
        </is>
      </c>
      <c r="H113" t="n">
        <v>36</v>
      </c>
      <c r="I113" s="4">
        <f>INT(D113)</f>
        <v/>
      </c>
      <c r="J113">
        <f>IFERROR(VLOOKUP(C113,Merchants!$A$2:$D$41,2,FALSE),"Merchant not found")</f>
        <v/>
      </c>
      <c r="K113">
        <f>IFERROR(VLOOKUP(C113,Merchants!$A$2:$D$41,3,FALSE),"Merchant not found")</f>
        <v/>
      </c>
      <c r="L113">
        <f>IFERROR(VLOOKUP(C113,Merchants!$A$2:$D$41,4,FALSE),"Merchant not found")</f>
        <v/>
      </c>
      <c r="M113" s="5">
        <f>HLOOKUP(F113,Fee_Reference!$B$1:$E$2,2,FALSE)</f>
        <v/>
      </c>
      <c r="N113">
        <f>SUMIFS($E$2:$E$548,$C$2:$C$548,C113,$I$2:$I$548,I113)</f>
        <v/>
      </c>
      <c r="O113">
        <f>IF(J113="Merchant not found","Merchant not found",IF(AND(N113&gt;5000,L113&lt;&gt;"East"),"High-Value Merchant Day","Normal Merchant Day"))</f>
        <v/>
      </c>
    </row>
    <row r="114">
      <c r="A114" t="inlineStr">
        <is>
          <t>TXN100112</t>
        </is>
      </c>
      <c r="B114" t="n">
        <v>282</v>
      </c>
      <c r="C114" t="n">
        <v>3</v>
      </c>
      <c r="D114" s="3" t="n">
        <v>46044.53611111111</v>
      </c>
      <c r="E114" t="n">
        <v>499</v>
      </c>
      <c r="F114" t="inlineStr">
        <is>
          <t>UPI</t>
        </is>
      </c>
      <c r="G114" t="inlineStr">
        <is>
          <t>captured</t>
        </is>
      </c>
      <c r="H114" t="n">
        <v>58</v>
      </c>
      <c r="I114" s="4">
        <f>INT(D114)</f>
        <v/>
      </c>
      <c r="J114">
        <f>IFERROR(VLOOKUP(C114,Merchants!$A$2:$D$41,2,FALSE),"Merchant not found")</f>
        <v/>
      </c>
      <c r="K114">
        <f>IFERROR(VLOOKUP(C114,Merchants!$A$2:$D$41,3,FALSE),"Merchant not found")</f>
        <v/>
      </c>
      <c r="L114">
        <f>IFERROR(VLOOKUP(C114,Merchants!$A$2:$D$41,4,FALSE),"Merchant not found")</f>
        <v/>
      </c>
      <c r="M114" s="5">
        <f>HLOOKUP(F114,Fee_Reference!$B$1:$E$2,2,FALSE)</f>
        <v/>
      </c>
      <c r="N114">
        <f>SUMIFS($E$2:$E$548,$C$2:$C$548,C114,$I$2:$I$548,I114)</f>
        <v/>
      </c>
      <c r="O114">
        <f>IF(J114="Merchant not found","Merchant not found",IF(AND(N114&gt;5000,L114&lt;&gt;"East"),"High-Value Merchant Day","Normal Merchant Day"))</f>
        <v/>
      </c>
    </row>
    <row r="115">
      <c r="A115" t="inlineStr">
        <is>
          <t>TXN100113</t>
        </is>
      </c>
      <c r="B115" t="n">
        <v>166</v>
      </c>
      <c r="C115" t="n">
        <v>8</v>
      </c>
      <c r="D115" s="3" t="n">
        <v>46025.42777777778</v>
      </c>
      <c r="E115" t="n">
        <v>299</v>
      </c>
      <c r="F115" t="inlineStr">
        <is>
          <t>UPI</t>
        </is>
      </c>
      <c r="G115" t="inlineStr">
        <is>
          <t>captured</t>
        </is>
      </c>
      <c r="H115" t="n">
        <v>98</v>
      </c>
      <c r="I115" s="4">
        <f>INT(D115)</f>
        <v/>
      </c>
      <c r="J115">
        <f>IFERROR(VLOOKUP(C115,Merchants!$A$2:$D$41,2,FALSE),"Merchant not found")</f>
        <v/>
      </c>
      <c r="K115">
        <f>IFERROR(VLOOKUP(C115,Merchants!$A$2:$D$41,3,FALSE),"Merchant not found")</f>
        <v/>
      </c>
      <c r="L115">
        <f>IFERROR(VLOOKUP(C115,Merchants!$A$2:$D$41,4,FALSE),"Merchant not found")</f>
        <v/>
      </c>
      <c r="M115" s="5">
        <f>HLOOKUP(F115,Fee_Reference!$B$1:$E$2,2,FALSE)</f>
        <v/>
      </c>
      <c r="N115">
        <f>SUMIFS($E$2:$E$548,$C$2:$C$548,C115,$I$2:$I$548,I115)</f>
        <v/>
      </c>
      <c r="O115">
        <f>IF(J115="Merchant not found","Merchant not found",IF(AND(N115&gt;5000,L115&lt;&gt;"East"),"High-Value Merchant Day","Normal Merchant Day"))</f>
        <v/>
      </c>
    </row>
    <row r="116">
      <c r="A116" t="inlineStr">
        <is>
          <t>TXN100114</t>
        </is>
      </c>
      <c r="B116" t="n">
        <v>1</v>
      </c>
      <c r="C116" t="n">
        <v>35</v>
      </c>
      <c r="D116" s="3" t="n">
        <v>46035.70277777778</v>
      </c>
      <c r="E116" t="n">
        <v>149</v>
      </c>
      <c r="F116" t="inlineStr">
        <is>
          <t>UPI</t>
        </is>
      </c>
      <c r="G116" t="inlineStr">
        <is>
          <t>captured</t>
        </is>
      </c>
      <c r="H116" t="n">
        <v>59</v>
      </c>
      <c r="I116" s="4">
        <f>INT(D116)</f>
        <v/>
      </c>
      <c r="J116">
        <f>IFERROR(VLOOKUP(C116,Merchants!$A$2:$D$41,2,FALSE),"Merchant not found")</f>
        <v/>
      </c>
      <c r="K116">
        <f>IFERROR(VLOOKUP(C116,Merchants!$A$2:$D$41,3,FALSE),"Merchant not found")</f>
        <v/>
      </c>
      <c r="L116">
        <f>IFERROR(VLOOKUP(C116,Merchants!$A$2:$D$41,4,FALSE),"Merchant not found")</f>
        <v/>
      </c>
      <c r="M116" s="5">
        <f>HLOOKUP(F116,Fee_Reference!$B$1:$E$2,2,FALSE)</f>
        <v/>
      </c>
      <c r="N116">
        <f>SUMIFS($E$2:$E$548,$C$2:$C$548,C116,$I$2:$I$548,I116)</f>
        <v/>
      </c>
      <c r="O116">
        <f>IF(J116="Merchant not found","Merchant not found",IF(AND(N116&gt;5000,L116&lt;&gt;"East"),"High-Value Merchant Day","Normal Merchant Day"))</f>
        <v/>
      </c>
    </row>
    <row r="117">
      <c r="A117" t="inlineStr">
        <is>
          <t>TXN100115</t>
        </is>
      </c>
      <c r="B117" t="n">
        <v>266</v>
      </c>
      <c r="C117" t="n">
        <v>24</v>
      </c>
      <c r="D117" s="3" t="n">
        <v>46036.05</v>
      </c>
      <c r="E117" t="n">
        <v>499</v>
      </c>
      <c r="F117" t="inlineStr">
        <is>
          <t>UPI</t>
        </is>
      </c>
      <c r="G117" t="inlineStr">
        <is>
          <t>captured</t>
        </is>
      </c>
      <c r="H117" t="n">
        <v>79</v>
      </c>
      <c r="I117" s="4">
        <f>INT(D117)</f>
        <v/>
      </c>
      <c r="J117">
        <f>IFERROR(VLOOKUP(C117,Merchants!$A$2:$D$41,2,FALSE),"Merchant not found")</f>
        <v/>
      </c>
      <c r="K117">
        <f>IFERROR(VLOOKUP(C117,Merchants!$A$2:$D$41,3,FALSE),"Merchant not found")</f>
        <v/>
      </c>
      <c r="L117">
        <f>IFERROR(VLOOKUP(C117,Merchants!$A$2:$D$41,4,FALSE),"Merchant not found")</f>
        <v/>
      </c>
      <c r="M117" s="5">
        <f>HLOOKUP(F117,Fee_Reference!$B$1:$E$2,2,FALSE)</f>
        <v/>
      </c>
      <c r="N117">
        <f>SUMIFS($E$2:$E$548,$C$2:$C$548,C117,$I$2:$I$548,I117)</f>
        <v/>
      </c>
      <c r="O117">
        <f>IF(J117="Merchant not found","Merchant not found",IF(AND(N117&gt;5000,L117&lt;&gt;"East"),"High-Value Merchant Day","Normal Merchant Day"))</f>
        <v/>
      </c>
    </row>
    <row r="118">
      <c r="A118" t="inlineStr">
        <is>
          <t>TXN100116</t>
        </is>
      </c>
      <c r="B118" t="n">
        <v>227</v>
      </c>
      <c r="C118" t="n">
        <v>4</v>
      </c>
      <c r="D118" s="3" t="n">
        <v>46047.65277777778</v>
      </c>
      <c r="E118" t="n">
        <v>499</v>
      </c>
      <c r="F118" t="inlineStr">
        <is>
          <t>UPI</t>
        </is>
      </c>
      <c r="G118" t="inlineStr">
        <is>
          <t>captured</t>
        </is>
      </c>
      <c r="H118" t="n">
        <v>26</v>
      </c>
      <c r="I118" s="4">
        <f>INT(D118)</f>
        <v/>
      </c>
      <c r="J118">
        <f>IFERROR(VLOOKUP(C118,Merchants!$A$2:$D$41,2,FALSE),"Merchant not found")</f>
        <v/>
      </c>
      <c r="K118">
        <f>IFERROR(VLOOKUP(C118,Merchants!$A$2:$D$41,3,FALSE),"Merchant not found")</f>
        <v/>
      </c>
      <c r="L118">
        <f>IFERROR(VLOOKUP(C118,Merchants!$A$2:$D$41,4,FALSE),"Merchant not found")</f>
        <v/>
      </c>
      <c r="M118" s="5">
        <f>HLOOKUP(F118,Fee_Reference!$B$1:$E$2,2,FALSE)</f>
        <v/>
      </c>
      <c r="N118">
        <f>SUMIFS($E$2:$E$548,$C$2:$C$548,C118,$I$2:$I$548,I118)</f>
        <v/>
      </c>
      <c r="O118">
        <f>IF(J118="Merchant not found","Merchant not found",IF(AND(N118&gt;5000,L118&lt;&gt;"East"),"High-Value Merchant Day","Normal Merchant Day"))</f>
        <v/>
      </c>
    </row>
    <row r="119">
      <c r="A119" t="inlineStr">
        <is>
          <t>TXN100117</t>
        </is>
      </c>
      <c r="B119" t="n">
        <v>148</v>
      </c>
      <c r="C119" t="n">
        <v>29</v>
      </c>
      <c r="D119" s="3" t="n">
        <v>46031.71388888889</v>
      </c>
      <c r="E119" t="n">
        <v>499</v>
      </c>
      <c r="F119" t="inlineStr">
        <is>
          <t>UPI</t>
        </is>
      </c>
      <c r="G119" t="inlineStr">
        <is>
          <t>captured</t>
        </is>
      </c>
      <c r="H119" t="n">
        <v>89</v>
      </c>
      <c r="I119" s="4">
        <f>INT(D119)</f>
        <v/>
      </c>
      <c r="J119">
        <f>IFERROR(VLOOKUP(C119,Merchants!$A$2:$D$41,2,FALSE),"Merchant not found")</f>
        <v/>
      </c>
      <c r="K119">
        <f>IFERROR(VLOOKUP(C119,Merchants!$A$2:$D$41,3,FALSE),"Merchant not found")</f>
        <v/>
      </c>
      <c r="L119">
        <f>IFERROR(VLOOKUP(C119,Merchants!$A$2:$D$41,4,FALSE),"Merchant not found")</f>
        <v/>
      </c>
      <c r="M119" s="5">
        <f>HLOOKUP(F119,Fee_Reference!$B$1:$E$2,2,FALSE)</f>
        <v/>
      </c>
      <c r="N119">
        <f>SUMIFS($E$2:$E$548,$C$2:$C$548,C119,$I$2:$I$548,I119)</f>
        <v/>
      </c>
      <c r="O119">
        <f>IF(J119="Merchant not found","Merchant not found",IF(AND(N119&gt;5000,L119&lt;&gt;"East"),"High-Value Merchant Day","Normal Merchant Day"))</f>
        <v/>
      </c>
    </row>
    <row r="120">
      <c r="A120" t="inlineStr">
        <is>
          <t>TXN100118</t>
        </is>
      </c>
      <c r="B120" t="n">
        <v>323</v>
      </c>
      <c r="C120" t="n">
        <v>39</v>
      </c>
      <c r="D120" s="3" t="n">
        <v>46038.12569444445</v>
      </c>
      <c r="E120" t="n">
        <v>499</v>
      </c>
      <c r="F120" t="inlineStr">
        <is>
          <t>UPI</t>
        </is>
      </c>
      <c r="G120" t="inlineStr">
        <is>
          <t>captured</t>
        </is>
      </c>
      <c r="H120" t="n">
        <v>30</v>
      </c>
      <c r="I120" s="4">
        <f>INT(D120)</f>
        <v/>
      </c>
      <c r="J120">
        <f>IFERROR(VLOOKUP(C120,Merchants!$A$2:$D$41,2,FALSE),"Merchant not found")</f>
        <v/>
      </c>
      <c r="K120">
        <f>IFERROR(VLOOKUP(C120,Merchants!$A$2:$D$41,3,FALSE),"Merchant not found")</f>
        <v/>
      </c>
      <c r="L120">
        <f>IFERROR(VLOOKUP(C120,Merchants!$A$2:$D$41,4,FALSE),"Merchant not found")</f>
        <v/>
      </c>
      <c r="M120" s="5">
        <f>HLOOKUP(F120,Fee_Reference!$B$1:$E$2,2,FALSE)</f>
        <v/>
      </c>
      <c r="N120">
        <f>SUMIFS($E$2:$E$548,$C$2:$C$548,C120,$I$2:$I$548,I120)</f>
        <v/>
      </c>
      <c r="O120">
        <f>IF(J120="Merchant not found","Merchant not found",IF(AND(N120&gt;5000,L120&lt;&gt;"East"),"High-Value Merchant Day","Normal Merchant Day"))</f>
        <v/>
      </c>
    </row>
    <row r="121">
      <c r="A121" t="inlineStr">
        <is>
          <t>TXN100119</t>
        </is>
      </c>
      <c r="B121" t="n">
        <v>283</v>
      </c>
      <c r="C121" t="n">
        <v>1</v>
      </c>
      <c r="D121" s="3" t="n">
        <v>46045.22152777778</v>
      </c>
      <c r="E121" t="n">
        <v>2999</v>
      </c>
      <c r="F121" t="inlineStr">
        <is>
          <t>Wallet</t>
        </is>
      </c>
      <c r="G121" t="inlineStr">
        <is>
          <t>captured</t>
        </is>
      </c>
      <c r="H121" t="n">
        <v>70</v>
      </c>
      <c r="I121" s="4">
        <f>INT(D121)</f>
        <v/>
      </c>
      <c r="J121">
        <f>IFERROR(VLOOKUP(C121,Merchants!$A$2:$D$41,2,FALSE),"Merchant not found")</f>
        <v/>
      </c>
      <c r="K121">
        <f>IFERROR(VLOOKUP(C121,Merchants!$A$2:$D$41,3,FALSE),"Merchant not found")</f>
        <v/>
      </c>
      <c r="L121">
        <f>IFERROR(VLOOKUP(C121,Merchants!$A$2:$D$41,4,FALSE),"Merchant not found")</f>
        <v/>
      </c>
      <c r="M121" s="5">
        <f>HLOOKUP(F121,Fee_Reference!$B$1:$E$2,2,FALSE)</f>
        <v/>
      </c>
      <c r="N121">
        <f>SUMIFS($E$2:$E$548,$C$2:$C$548,C121,$I$2:$I$548,I121)</f>
        <v/>
      </c>
      <c r="O121">
        <f>IF(J121="Merchant not found","Merchant not found",IF(AND(N121&gt;5000,L121&lt;&gt;"East"),"High-Value Merchant Day","Normal Merchant Day"))</f>
        <v/>
      </c>
    </row>
    <row r="122">
      <c r="A122" t="inlineStr">
        <is>
          <t>TXN100120</t>
        </is>
      </c>
      <c r="B122" t="n">
        <v>59</v>
      </c>
      <c r="C122" t="n">
        <v>30</v>
      </c>
      <c r="D122" s="3" t="n">
        <v>46036.09305555555</v>
      </c>
      <c r="E122" t="n">
        <v>499</v>
      </c>
      <c r="F122" t="inlineStr">
        <is>
          <t>UPI</t>
        </is>
      </c>
      <c r="G122" t="inlineStr">
        <is>
          <t>captured</t>
        </is>
      </c>
      <c r="H122" t="n">
        <v>15</v>
      </c>
      <c r="I122" s="4">
        <f>INT(D122)</f>
        <v/>
      </c>
      <c r="J122">
        <f>IFERROR(VLOOKUP(C122,Merchants!$A$2:$D$41,2,FALSE),"Merchant not found")</f>
        <v/>
      </c>
      <c r="K122">
        <f>IFERROR(VLOOKUP(C122,Merchants!$A$2:$D$41,3,FALSE),"Merchant not found")</f>
        <v/>
      </c>
      <c r="L122">
        <f>IFERROR(VLOOKUP(C122,Merchants!$A$2:$D$41,4,FALSE),"Merchant not found")</f>
        <v/>
      </c>
      <c r="M122" s="5">
        <f>HLOOKUP(F122,Fee_Reference!$B$1:$E$2,2,FALSE)</f>
        <v/>
      </c>
      <c r="N122">
        <f>SUMIFS($E$2:$E$548,$C$2:$C$548,C122,$I$2:$I$548,I122)</f>
        <v/>
      </c>
      <c r="O122">
        <f>IF(J122="Merchant not found","Merchant not found",IF(AND(N122&gt;5000,L122&lt;&gt;"East"),"High-Value Merchant Day","Normal Merchant Day"))</f>
        <v/>
      </c>
    </row>
    <row r="123">
      <c r="A123" t="inlineStr">
        <is>
          <t>TXN100121</t>
        </is>
      </c>
      <c r="B123" t="n">
        <v>150</v>
      </c>
      <c r="C123" t="n">
        <v>33</v>
      </c>
      <c r="D123" s="3" t="n">
        <v>46043.18819444445</v>
      </c>
      <c r="E123" t="n">
        <v>2999</v>
      </c>
      <c r="F123" t="inlineStr">
        <is>
          <t>UPI</t>
        </is>
      </c>
      <c r="G123" t="inlineStr">
        <is>
          <t>captured</t>
        </is>
      </c>
      <c r="H123" t="n">
        <v>90</v>
      </c>
      <c r="I123" s="4">
        <f>INT(D123)</f>
        <v/>
      </c>
      <c r="J123">
        <f>IFERROR(VLOOKUP(C123,Merchants!$A$2:$D$41,2,FALSE),"Merchant not found")</f>
        <v/>
      </c>
      <c r="K123">
        <f>IFERROR(VLOOKUP(C123,Merchants!$A$2:$D$41,3,FALSE),"Merchant not found")</f>
        <v/>
      </c>
      <c r="L123">
        <f>IFERROR(VLOOKUP(C123,Merchants!$A$2:$D$41,4,FALSE),"Merchant not found")</f>
        <v/>
      </c>
      <c r="M123" s="5">
        <f>HLOOKUP(F123,Fee_Reference!$B$1:$E$2,2,FALSE)</f>
        <v/>
      </c>
      <c r="N123">
        <f>SUMIFS($E$2:$E$548,$C$2:$C$548,C123,$I$2:$I$548,I123)</f>
        <v/>
      </c>
      <c r="O123">
        <f>IF(J123="Merchant not found","Merchant not found",IF(AND(N123&gt;5000,L123&lt;&gt;"East"),"High-Value Merchant Day","Normal Merchant Day"))</f>
        <v/>
      </c>
    </row>
    <row r="124">
      <c r="A124" t="inlineStr">
        <is>
          <t>TXN100122</t>
        </is>
      </c>
      <c r="B124" t="n">
        <v>248</v>
      </c>
      <c r="C124" t="n">
        <v>31</v>
      </c>
      <c r="D124" s="3" t="n">
        <v>46031.57847222222</v>
      </c>
      <c r="E124" t="n">
        <v>1499</v>
      </c>
      <c r="F124" t="inlineStr">
        <is>
          <t>UPI</t>
        </is>
      </c>
      <c r="G124" t="inlineStr">
        <is>
          <t>failed</t>
        </is>
      </c>
      <c r="H124" t="n">
        <v>31</v>
      </c>
      <c r="I124" s="4">
        <f>INT(D124)</f>
        <v/>
      </c>
      <c r="J124">
        <f>IFERROR(VLOOKUP(C124,Merchants!$A$2:$D$41,2,FALSE),"Merchant not found")</f>
        <v/>
      </c>
      <c r="K124">
        <f>IFERROR(VLOOKUP(C124,Merchants!$A$2:$D$41,3,FALSE),"Merchant not found")</f>
        <v/>
      </c>
      <c r="L124">
        <f>IFERROR(VLOOKUP(C124,Merchants!$A$2:$D$41,4,FALSE),"Merchant not found")</f>
        <v/>
      </c>
      <c r="M124" s="5">
        <f>HLOOKUP(F124,Fee_Reference!$B$1:$E$2,2,FALSE)</f>
        <v/>
      </c>
      <c r="N124">
        <f>SUMIFS($E$2:$E$548,$C$2:$C$548,C124,$I$2:$I$548,I124)</f>
        <v/>
      </c>
      <c r="O124">
        <f>IF(J124="Merchant not found","Merchant not found",IF(AND(N124&gt;5000,L124&lt;&gt;"East"),"High-Value Merchant Day","Normal Merchant Day"))</f>
        <v/>
      </c>
    </row>
    <row r="125">
      <c r="A125" t="inlineStr">
        <is>
          <t>TXN100123</t>
        </is>
      </c>
      <c r="B125" t="n">
        <v>197</v>
      </c>
      <c r="C125" t="n">
        <v>13</v>
      </c>
      <c r="D125" s="3" t="n">
        <v>46037.71458333333</v>
      </c>
      <c r="E125" t="n">
        <v>49</v>
      </c>
      <c r="F125" t="inlineStr">
        <is>
          <t>UPI</t>
        </is>
      </c>
      <c r="G125" t="inlineStr">
        <is>
          <t>captured</t>
        </is>
      </c>
      <c r="H125" t="n">
        <v>76</v>
      </c>
      <c r="I125" s="4">
        <f>INT(D125)</f>
        <v/>
      </c>
      <c r="J125">
        <f>IFERROR(VLOOKUP(C125,Merchants!$A$2:$D$41,2,FALSE),"Merchant not found")</f>
        <v/>
      </c>
      <c r="K125">
        <f>IFERROR(VLOOKUP(C125,Merchants!$A$2:$D$41,3,FALSE),"Merchant not found")</f>
        <v/>
      </c>
      <c r="L125">
        <f>IFERROR(VLOOKUP(C125,Merchants!$A$2:$D$41,4,FALSE),"Merchant not found")</f>
        <v/>
      </c>
      <c r="M125" s="5">
        <f>HLOOKUP(F125,Fee_Reference!$B$1:$E$2,2,FALSE)</f>
        <v/>
      </c>
      <c r="N125">
        <f>SUMIFS($E$2:$E$548,$C$2:$C$548,C125,$I$2:$I$548,I125)</f>
        <v/>
      </c>
      <c r="O125">
        <f>IF(J125="Merchant not found","Merchant not found",IF(AND(N125&gt;5000,L125&lt;&gt;"East"),"High-Value Merchant Day","Normal Merchant Day"))</f>
        <v/>
      </c>
    </row>
    <row r="126">
      <c r="A126" t="inlineStr">
        <is>
          <t>TXN100124</t>
        </is>
      </c>
      <c r="B126" t="n">
        <v>70</v>
      </c>
      <c r="C126" t="n">
        <v>5</v>
      </c>
      <c r="D126" s="3" t="n">
        <v>46039.99722222222</v>
      </c>
      <c r="E126" t="n">
        <v>499</v>
      </c>
      <c r="F126" t="inlineStr">
        <is>
          <t>UPI</t>
        </is>
      </c>
      <c r="G126" t="inlineStr">
        <is>
          <t>captured</t>
        </is>
      </c>
      <c r="H126" t="n">
        <v>35</v>
      </c>
      <c r="I126" s="4">
        <f>INT(D126)</f>
        <v/>
      </c>
      <c r="J126">
        <f>IFERROR(VLOOKUP(C126,Merchants!$A$2:$D$41,2,FALSE),"Merchant not found")</f>
        <v/>
      </c>
      <c r="K126">
        <f>IFERROR(VLOOKUP(C126,Merchants!$A$2:$D$41,3,FALSE),"Merchant not found")</f>
        <v/>
      </c>
      <c r="L126">
        <f>IFERROR(VLOOKUP(C126,Merchants!$A$2:$D$41,4,FALSE),"Merchant not found")</f>
        <v/>
      </c>
      <c r="M126" s="5">
        <f>HLOOKUP(F126,Fee_Reference!$B$1:$E$2,2,FALSE)</f>
        <v/>
      </c>
      <c r="N126">
        <f>SUMIFS($E$2:$E$548,$C$2:$C$548,C126,$I$2:$I$548,I126)</f>
        <v/>
      </c>
      <c r="O126">
        <f>IF(J126="Merchant not found","Merchant not found",IF(AND(N126&gt;5000,L126&lt;&gt;"East"),"High-Value Merchant Day","Normal Merchant Day"))</f>
        <v/>
      </c>
    </row>
    <row r="127">
      <c r="A127" t="inlineStr">
        <is>
          <t>TXN100125</t>
        </is>
      </c>
      <c r="B127" t="n">
        <v>260</v>
      </c>
      <c r="C127" t="n">
        <v>18</v>
      </c>
      <c r="D127" s="3" t="n">
        <v>46047.55625</v>
      </c>
      <c r="E127" t="n">
        <v>1499</v>
      </c>
      <c r="F127" t="inlineStr">
        <is>
          <t>UPI</t>
        </is>
      </c>
      <c r="G127" t="inlineStr">
        <is>
          <t>captured</t>
        </is>
      </c>
      <c r="H127" t="n">
        <v>0</v>
      </c>
      <c r="I127" s="4">
        <f>INT(D127)</f>
        <v/>
      </c>
      <c r="J127">
        <f>IFERROR(VLOOKUP(C127,Merchants!$A$2:$D$41,2,FALSE),"Merchant not found")</f>
        <v/>
      </c>
      <c r="K127">
        <f>IFERROR(VLOOKUP(C127,Merchants!$A$2:$D$41,3,FALSE),"Merchant not found")</f>
        <v/>
      </c>
      <c r="L127">
        <f>IFERROR(VLOOKUP(C127,Merchants!$A$2:$D$41,4,FALSE),"Merchant not found")</f>
        <v/>
      </c>
      <c r="M127" s="5">
        <f>HLOOKUP(F127,Fee_Reference!$B$1:$E$2,2,FALSE)</f>
        <v/>
      </c>
      <c r="N127">
        <f>SUMIFS($E$2:$E$548,$C$2:$C$548,C127,$I$2:$I$548,I127)</f>
        <v/>
      </c>
      <c r="O127">
        <f>IF(J127="Merchant not found","Merchant not found",IF(AND(N127&gt;5000,L127&lt;&gt;"East"),"High-Value Merchant Day","Normal Merchant Day"))</f>
        <v/>
      </c>
    </row>
    <row r="128">
      <c r="A128" t="inlineStr">
        <is>
          <t>TXN100126</t>
        </is>
      </c>
      <c r="B128" t="n">
        <v>301</v>
      </c>
      <c r="C128" t="n">
        <v>38</v>
      </c>
      <c r="D128" s="3" t="n">
        <v>46032.97152777778</v>
      </c>
      <c r="E128" t="n">
        <v>99</v>
      </c>
      <c r="F128" t="inlineStr">
        <is>
          <t>UPI</t>
        </is>
      </c>
      <c r="G128" t="inlineStr">
        <is>
          <t>captured</t>
        </is>
      </c>
      <c r="H128" t="n">
        <v>84</v>
      </c>
      <c r="I128" s="4">
        <f>INT(D128)</f>
        <v/>
      </c>
      <c r="J128">
        <f>IFERROR(VLOOKUP(C128,Merchants!$A$2:$D$41,2,FALSE),"Merchant not found")</f>
        <v/>
      </c>
      <c r="K128">
        <f>IFERROR(VLOOKUP(C128,Merchants!$A$2:$D$41,3,FALSE),"Merchant not found")</f>
        <v/>
      </c>
      <c r="L128">
        <f>IFERROR(VLOOKUP(C128,Merchants!$A$2:$D$41,4,FALSE),"Merchant not found")</f>
        <v/>
      </c>
      <c r="M128" s="5">
        <f>HLOOKUP(F128,Fee_Reference!$B$1:$E$2,2,FALSE)</f>
        <v/>
      </c>
      <c r="N128">
        <f>SUMIFS($E$2:$E$548,$C$2:$C$548,C128,$I$2:$I$548,I128)</f>
        <v/>
      </c>
      <c r="O128">
        <f>IF(J128="Merchant not found","Merchant not found",IF(AND(N128&gt;5000,L128&lt;&gt;"East"),"High-Value Merchant Day","Normal Merchant Day"))</f>
        <v/>
      </c>
    </row>
    <row r="129">
      <c r="A129" t="inlineStr">
        <is>
          <t>TXN100127</t>
        </is>
      </c>
      <c r="B129" t="n">
        <v>276</v>
      </c>
      <c r="C129" t="n">
        <v>31</v>
      </c>
      <c r="D129" s="3" t="n">
        <v>46038.18611111111</v>
      </c>
      <c r="E129" t="n">
        <v>499</v>
      </c>
      <c r="F129" t="inlineStr">
        <is>
          <t>Card</t>
        </is>
      </c>
      <c r="G129" t="inlineStr">
        <is>
          <t>captured</t>
        </is>
      </c>
      <c r="H129" t="n">
        <v>44</v>
      </c>
      <c r="I129" s="4">
        <f>INT(D129)</f>
        <v/>
      </c>
      <c r="J129">
        <f>IFERROR(VLOOKUP(C129,Merchants!$A$2:$D$41,2,FALSE),"Merchant not found")</f>
        <v/>
      </c>
      <c r="K129">
        <f>IFERROR(VLOOKUP(C129,Merchants!$A$2:$D$41,3,FALSE),"Merchant not found")</f>
        <v/>
      </c>
      <c r="L129">
        <f>IFERROR(VLOOKUP(C129,Merchants!$A$2:$D$41,4,FALSE),"Merchant not found")</f>
        <v/>
      </c>
      <c r="M129" s="5">
        <f>HLOOKUP(F129,Fee_Reference!$B$1:$E$2,2,FALSE)</f>
        <v/>
      </c>
      <c r="N129">
        <f>SUMIFS($E$2:$E$548,$C$2:$C$548,C129,$I$2:$I$548,I129)</f>
        <v/>
      </c>
      <c r="O129">
        <f>IF(J129="Merchant not found","Merchant not found",IF(AND(N129&gt;5000,L129&lt;&gt;"East"),"High-Value Merchant Day","Normal Merchant Day"))</f>
        <v/>
      </c>
    </row>
    <row r="130">
      <c r="A130" t="inlineStr">
        <is>
          <t>TXN100128</t>
        </is>
      </c>
      <c r="B130" t="n">
        <v>279</v>
      </c>
      <c r="C130" t="n">
        <v>25</v>
      </c>
      <c r="D130" s="3" t="n">
        <v>46033.74166666667</v>
      </c>
      <c r="E130" t="n">
        <v>799</v>
      </c>
      <c r="F130" t="inlineStr">
        <is>
          <t>UPI</t>
        </is>
      </c>
      <c r="G130" t="inlineStr">
        <is>
          <t>captured</t>
        </is>
      </c>
      <c r="H130" t="n">
        <v>58</v>
      </c>
      <c r="I130" s="4">
        <f>INT(D130)</f>
        <v/>
      </c>
      <c r="J130">
        <f>IFERROR(VLOOKUP(C130,Merchants!$A$2:$D$41,2,FALSE),"Merchant not found")</f>
        <v/>
      </c>
      <c r="K130">
        <f>IFERROR(VLOOKUP(C130,Merchants!$A$2:$D$41,3,FALSE),"Merchant not found")</f>
        <v/>
      </c>
      <c r="L130">
        <f>IFERROR(VLOOKUP(C130,Merchants!$A$2:$D$41,4,FALSE),"Merchant not found")</f>
        <v/>
      </c>
      <c r="M130" s="5">
        <f>HLOOKUP(F130,Fee_Reference!$B$1:$E$2,2,FALSE)</f>
        <v/>
      </c>
      <c r="N130">
        <f>SUMIFS($E$2:$E$548,$C$2:$C$548,C130,$I$2:$I$548,I130)</f>
        <v/>
      </c>
      <c r="O130">
        <f>IF(J130="Merchant not found","Merchant not found",IF(AND(N130&gt;5000,L130&lt;&gt;"East"),"High-Value Merchant Day","Normal Merchant Day"))</f>
        <v/>
      </c>
    </row>
    <row r="131">
      <c r="A131" t="inlineStr">
        <is>
          <t>TXN100129</t>
        </is>
      </c>
      <c r="B131" t="n">
        <v>97</v>
      </c>
      <c r="C131" t="n">
        <v>16</v>
      </c>
      <c r="D131" s="3" t="n">
        <v>46052.45486111111</v>
      </c>
      <c r="E131" t="n">
        <v>799</v>
      </c>
      <c r="F131" t="inlineStr">
        <is>
          <t>Card</t>
        </is>
      </c>
      <c r="G131" t="inlineStr">
        <is>
          <t>captured</t>
        </is>
      </c>
      <c r="H131" t="n">
        <v>73</v>
      </c>
      <c r="I131" s="4">
        <f>INT(D131)</f>
        <v/>
      </c>
      <c r="J131">
        <f>IFERROR(VLOOKUP(C131,Merchants!$A$2:$D$41,2,FALSE),"Merchant not found")</f>
        <v/>
      </c>
      <c r="K131">
        <f>IFERROR(VLOOKUP(C131,Merchants!$A$2:$D$41,3,FALSE),"Merchant not found")</f>
        <v/>
      </c>
      <c r="L131">
        <f>IFERROR(VLOOKUP(C131,Merchants!$A$2:$D$41,4,FALSE),"Merchant not found")</f>
        <v/>
      </c>
      <c r="M131" s="5">
        <f>HLOOKUP(F131,Fee_Reference!$B$1:$E$2,2,FALSE)</f>
        <v/>
      </c>
      <c r="N131">
        <f>SUMIFS($E$2:$E$548,$C$2:$C$548,C131,$I$2:$I$548,I131)</f>
        <v/>
      </c>
      <c r="O131">
        <f>IF(J131="Merchant not found","Merchant not found",IF(AND(N131&gt;5000,L131&lt;&gt;"East"),"High-Value Merchant Day","Normal Merchant Day"))</f>
        <v/>
      </c>
    </row>
    <row r="132">
      <c r="A132" t="inlineStr">
        <is>
          <t>TXN100130</t>
        </is>
      </c>
      <c r="B132" t="n">
        <v>211</v>
      </c>
      <c r="C132" t="n">
        <v>3</v>
      </c>
      <c r="D132" s="3" t="n">
        <v>46035.32916666667</v>
      </c>
      <c r="E132" t="n">
        <v>149</v>
      </c>
      <c r="F132" t="inlineStr">
        <is>
          <t>UPI</t>
        </is>
      </c>
      <c r="G132" t="inlineStr">
        <is>
          <t>chargeback</t>
        </is>
      </c>
      <c r="H132" t="n">
        <v>40</v>
      </c>
      <c r="I132" s="4">
        <f>INT(D132)</f>
        <v/>
      </c>
      <c r="J132">
        <f>IFERROR(VLOOKUP(C132,Merchants!$A$2:$D$41,2,FALSE),"Merchant not found")</f>
        <v/>
      </c>
      <c r="K132">
        <f>IFERROR(VLOOKUP(C132,Merchants!$A$2:$D$41,3,FALSE),"Merchant not found")</f>
        <v/>
      </c>
      <c r="L132">
        <f>IFERROR(VLOOKUP(C132,Merchants!$A$2:$D$41,4,FALSE),"Merchant not found")</f>
        <v/>
      </c>
      <c r="M132" s="5">
        <f>HLOOKUP(F132,Fee_Reference!$B$1:$E$2,2,FALSE)</f>
        <v/>
      </c>
      <c r="N132">
        <f>SUMIFS($E$2:$E$548,$C$2:$C$548,C132,$I$2:$I$548,I132)</f>
        <v/>
      </c>
      <c r="O132">
        <f>IF(J132="Merchant not found","Merchant not found",IF(AND(N132&gt;5000,L132&lt;&gt;"East"),"High-Value Merchant Day","Normal Merchant Day"))</f>
        <v/>
      </c>
    </row>
    <row r="133">
      <c r="A133" t="inlineStr">
        <is>
          <t>TXN100131</t>
        </is>
      </c>
      <c r="B133" t="n">
        <v>196</v>
      </c>
      <c r="C133" t="n">
        <v>25</v>
      </c>
      <c r="D133" s="3" t="n">
        <v>46046.65625</v>
      </c>
      <c r="E133" t="n">
        <v>149</v>
      </c>
      <c r="F133" t="inlineStr">
        <is>
          <t>Netbanking</t>
        </is>
      </c>
      <c r="G133" t="inlineStr">
        <is>
          <t>captured</t>
        </is>
      </c>
      <c r="H133" t="n">
        <v>84</v>
      </c>
      <c r="I133" s="4">
        <f>INT(D133)</f>
        <v/>
      </c>
      <c r="J133">
        <f>IFERROR(VLOOKUP(C133,Merchants!$A$2:$D$41,2,FALSE),"Merchant not found")</f>
        <v/>
      </c>
      <c r="K133">
        <f>IFERROR(VLOOKUP(C133,Merchants!$A$2:$D$41,3,FALSE),"Merchant not found")</f>
        <v/>
      </c>
      <c r="L133">
        <f>IFERROR(VLOOKUP(C133,Merchants!$A$2:$D$41,4,FALSE),"Merchant not found")</f>
        <v/>
      </c>
      <c r="M133" s="5">
        <f>HLOOKUP(F133,Fee_Reference!$B$1:$E$2,2,FALSE)</f>
        <v/>
      </c>
      <c r="N133">
        <f>SUMIFS($E$2:$E$548,$C$2:$C$548,C133,$I$2:$I$548,I133)</f>
        <v/>
      </c>
      <c r="O133">
        <f>IF(J133="Merchant not found","Merchant not found",IF(AND(N133&gt;5000,L133&lt;&gt;"East"),"High-Value Merchant Day","Normal Merchant Day"))</f>
        <v/>
      </c>
    </row>
    <row r="134">
      <c r="A134" t="inlineStr">
        <is>
          <t>TXN100132</t>
        </is>
      </c>
      <c r="B134" t="n">
        <v>254</v>
      </c>
      <c r="C134" t="n">
        <v>3</v>
      </c>
      <c r="D134" s="3" t="n">
        <v>46048.83958333333</v>
      </c>
      <c r="E134" t="n">
        <v>149</v>
      </c>
      <c r="F134" t="inlineStr">
        <is>
          <t>Card</t>
        </is>
      </c>
      <c r="G134" t="inlineStr">
        <is>
          <t>captured</t>
        </is>
      </c>
      <c r="H134" t="n">
        <v>16</v>
      </c>
      <c r="I134" s="4">
        <f>INT(D134)</f>
        <v/>
      </c>
      <c r="J134">
        <f>IFERROR(VLOOKUP(C134,Merchants!$A$2:$D$41,2,FALSE),"Merchant not found")</f>
        <v/>
      </c>
      <c r="K134">
        <f>IFERROR(VLOOKUP(C134,Merchants!$A$2:$D$41,3,FALSE),"Merchant not found")</f>
        <v/>
      </c>
      <c r="L134">
        <f>IFERROR(VLOOKUP(C134,Merchants!$A$2:$D$41,4,FALSE),"Merchant not found")</f>
        <v/>
      </c>
      <c r="M134" s="5">
        <f>HLOOKUP(F134,Fee_Reference!$B$1:$E$2,2,FALSE)</f>
        <v/>
      </c>
      <c r="N134">
        <f>SUMIFS($E$2:$E$548,$C$2:$C$548,C134,$I$2:$I$548,I134)</f>
        <v/>
      </c>
      <c r="O134">
        <f>IF(J134="Merchant not found","Merchant not found",IF(AND(N134&gt;5000,L134&lt;&gt;"East"),"High-Value Merchant Day","Normal Merchant Day"))</f>
        <v/>
      </c>
    </row>
    <row r="135">
      <c r="A135" t="inlineStr">
        <is>
          <t>TXN100133</t>
        </is>
      </c>
      <c r="B135" t="n">
        <v>52</v>
      </c>
      <c r="C135" t="n">
        <v>29</v>
      </c>
      <c r="D135" s="3" t="n">
        <v>46039.76458333333</v>
      </c>
      <c r="E135" t="n">
        <v>49</v>
      </c>
      <c r="F135" t="inlineStr">
        <is>
          <t>Netbanking</t>
        </is>
      </c>
      <c r="G135" t="inlineStr">
        <is>
          <t>captured</t>
        </is>
      </c>
      <c r="H135" t="n">
        <v>12</v>
      </c>
      <c r="I135" s="4">
        <f>INT(D135)</f>
        <v/>
      </c>
      <c r="J135">
        <f>IFERROR(VLOOKUP(C135,Merchants!$A$2:$D$41,2,FALSE),"Merchant not found")</f>
        <v/>
      </c>
      <c r="K135">
        <f>IFERROR(VLOOKUP(C135,Merchants!$A$2:$D$41,3,FALSE),"Merchant not found")</f>
        <v/>
      </c>
      <c r="L135">
        <f>IFERROR(VLOOKUP(C135,Merchants!$A$2:$D$41,4,FALSE),"Merchant not found")</f>
        <v/>
      </c>
      <c r="M135" s="5">
        <f>HLOOKUP(F135,Fee_Reference!$B$1:$E$2,2,FALSE)</f>
        <v/>
      </c>
      <c r="N135">
        <f>SUMIFS($E$2:$E$548,$C$2:$C$548,C135,$I$2:$I$548,I135)</f>
        <v/>
      </c>
      <c r="O135">
        <f>IF(J135="Merchant not found","Merchant not found",IF(AND(N135&gt;5000,L135&lt;&gt;"East"),"High-Value Merchant Day","Normal Merchant Day"))</f>
        <v/>
      </c>
    </row>
    <row r="136">
      <c r="A136" t="inlineStr">
        <is>
          <t>TXN100134</t>
        </is>
      </c>
      <c r="B136" t="n">
        <v>74</v>
      </c>
      <c r="C136" t="n">
        <v>27</v>
      </c>
      <c r="D136" s="3" t="n">
        <v>46039.58333333334</v>
      </c>
      <c r="E136" t="n">
        <v>799</v>
      </c>
      <c r="F136" t="inlineStr">
        <is>
          <t>UPI</t>
        </is>
      </c>
      <c r="G136" t="inlineStr">
        <is>
          <t>captured</t>
        </is>
      </c>
      <c r="H136" t="n">
        <v>83</v>
      </c>
      <c r="I136" s="4">
        <f>INT(D136)</f>
        <v/>
      </c>
      <c r="J136">
        <f>IFERROR(VLOOKUP(C136,Merchants!$A$2:$D$41,2,FALSE),"Merchant not found")</f>
        <v/>
      </c>
      <c r="K136">
        <f>IFERROR(VLOOKUP(C136,Merchants!$A$2:$D$41,3,FALSE),"Merchant not found")</f>
        <v/>
      </c>
      <c r="L136">
        <f>IFERROR(VLOOKUP(C136,Merchants!$A$2:$D$41,4,FALSE),"Merchant not found")</f>
        <v/>
      </c>
      <c r="M136" s="5">
        <f>HLOOKUP(F136,Fee_Reference!$B$1:$E$2,2,FALSE)</f>
        <v/>
      </c>
      <c r="N136">
        <f>SUMIFS($E$2:$E$548,$C$2:$C$548,C136,$I$2:$I$548,I136)</f>
        <v/>
      </c>
      <c r="O136">
        <f>IF(J136="Merchant not found","Merchant not found",IF(AND(N136&gt;5000,L136&lt;&gt;"East"),"High-Value Merchant Day","Normal Merchant Day"))</f>
        <v/>
      </c>
    </row>
    <row r="137">
      <c r="A137" t="inlineStr">
        <is>
          <t>TXN100135</t>
        </is>
      </c>
      <c r="B137" t="n">
        <v>136</v>
      </c>
      <c r="C137" t="n">
        <v>22</v>
      </c>
      <c r="D137" s="3" t="n">
        <v>46027.10416666666</v>
      </c>
      <c r="E137" t="n">
        <v>149</v>
      </c>
      <c r="F137" t="inlineStr">
        <is>
          <t>UPI</t>
        </is>
      </c>
      <c r="G137" t="inlineStr">
        <is>
          <t>captured</t>
        </is>
      </c>
      <c r="H137" t="n">
        <v>79</v>
      </c>
      <c r="I137" s="4">
        <f>INT(D137)</f>
        <v/>
      </c>
      <c r="J137">
        <f>IFERROR(VLOOKUP(C137,Merchants!$A$2:$D$41,2,FALSE),"Merchant not found")</f>
        <v/>
      </c>
      <c r="K137">
        <f>IFERROR(VLOOKUP(C137,Merchants!$A$2:$D$41,3,FALSE),"Merchant not found")</f>
        <v/>
      </c>
      <c r="L137">
        <f>IFERROR(VLOOKUP(C137,Merchants!$A$2:$D$41,4,FALSE),"Merchant not found")</f>
        <v/>
      </c>
      <c r="M137" s="5">
        <f>HLOOKUP(F137,Fee_Reference!$B$1:$E$2,2,FALSE)</f>
        <v/>
      </c>
      <c r="N137">
        <f>SUMIFS($E$2:$E$548,$C$2:$C$548,C137,$I$2:$I$548,I137)</f>
        <v/>
      </c>
      <c r="O137">
        <f>IF(J137="Merchant not found","Merchant not found",IF(AND(N137&gt;5000,L137&lt;&gt;"East"),"High-Value Merchant Day","Normal Merchant Day"))</f>
        <v/>
      </c>
    </row>
    <row r="138">
      <c r="A138" t="inlineStr">
        <is>
          <t>TXN100136</t>
        </is>
      </c>
      <c r="B138" t="n">
        <v>42</v>
      </c>
      <c r="C138" t="n">
        <v>22</v>
      </c>
      <c r="D138" s="3" t="n">
        <v>46045.52847222222</v>
      </c>
      <c r="E138" t="n">
        <v>49</v>
      </c>
      <c r="F138" t="inlineStr">
        <is>
          <t>UPI</t>
        </is>
      </c>
      <c r="G138" t="inlineStr">
        <is>
          <t>captured</t>
        </is>
      </c>
      <c r="H138" t="n">
        <v>86</v>
      </c>
      <c r="I138" s="4">
        <f>INT(D138)</f>
        <v/>
      </c>
      <c r="J138">
        <f>IFERROR(VLOOKUP(C138,Merchants!$A$2:$D$41,2,FALSE),"Merchant not found")</f>
        <v/>
      </c>
      <c r="K138">
        <f>IFERROR(VLOOKUP(C138,Merchants!$A$2:$D$41,3,FALSE),"Merchant not found")</f>
        <v/>
      </c>
      <c r="L138">
        <f>IFERROR(VLOOKUP(C138,Merchants!$A$2:$D$41,4,FALSE),"Merchant not found")</f>
        <v/>
      </c>
      <c r="M138" s="5">
        <f>HLOOKUP(F138,Fee_Reference!$B$1:$E$2,2,FALSE)</f>
        <v/>
      </c>
      <c r="N138">
        <f>SUMIFS($E$2:$E$548,$C$2:$C$548,C138,$I$2:$I$548,I138)</f>
        <v/>
      </c>
      <c r="O138">
        <f>IF(J138="Merchant not found","Merchant not found",IF(AND(N138&gt;5000,L138&lt;&gt;"East"),"High-Value Merchant Day","Normal Merchant Day"))</f>
        <v/>
      </c>
    </row>
    <row r="139">
      <c r="A139" t="inlineStr">
        <is>
          <t>TXN100137</t>
        </is>
      </c>
      <c r="B139" t="n">
        <v>163</v>
      </c>
      <c r="C139" t="n">
        <v>32</v>
      </c>
      <c r="D139" s="3" t="n">
        <v>46050.725</v>
      </c>
      <c r="E139" t="n">
        <v>2999</v>
      </c>
      <c r="F139" t="inlineStr">
        <is>
          <t>Wallet</t>
        </is>
      </c>
      <c r="G139" t="inlineStr">
        <is>
          <t>failed</t>
        </is>
      </c>
      <c r="H139" t="n">
        <v>69</v>
      </c>
      <c r="I139" s="4">
        <f>INT(D139)</f>
        <v/>
      </c>
      <c r="J139">
        <f>IFERROR(VLOOKUP(C139,Merchants!$A$2:$D$41,2,FALSE),"Merchant not found")</f>
        <v/>
      </c>
      <c r="K139">
        <f>IFERROR(VLOOKUP(C139,Merchants!$A$2:$D$41,3,FALSE),"Merchant not found")</f>
        <v/>
      </c>
      <c r="L139">
        <f>IFERROR(VLOOKUP(C139,Merchants!$A$2:$D$41,4,FALSE),"Merchant not found")</f>
        <v/>
      </c>
      <c r="M139" s="5">
        <f>HLOOKUP(F139,Fee_Reference!$B$1:$E$2,2,FALSE)</f>
        <v/>
      </c>
      <c r="N139">
        <f>SUMIFS($E$2:$E$548,$C$2:$C$548,C139,$I$2:$I$548,I139)</f>
        <v/>
      </c>
      <c r="O139">
        <f>IF(J139="Merchant not found","Merchant not found",IF(AND(N139&gt;5000,L139&lt;&gt;"East"),"High-Value Merchant Day","Normal Merchant Day"))</f>
        <v/>
      </c>
    </row>
    <row r="140">
      <c r="A140" t="inlineStr">
        <is>
          <t>TXN100138</t>
        </is>
      </c>
      <c r="B140" t="n">
        <v>121</v>
      </c>
      <c r="C140" t="n">
        <v>19</v>
      </c>
      <c r="D140" s="3" t="n">
        <v>46024.79444444444</v>
      </c>
      <c r="E140" t="n">
        <v>149</v>
      </c>
      <c r="F140" t="inlineStr">
        <is>
          <t>UPI</t>
        </is>
      </c>
      <c r="G140" t="inlineStr">
        <is>
          <t>captured</t>
        </is>
      </c>
      <c r="H140" t="n">
        <v>29</v>
      </c>
      <c r="I140" s="4">
        <f>INT(D140)</f>
        <v/>
      </c>
      <c r="J140">
        <f>IFERROR(VLOOKUP(C140,Merchants!$A$2:$D$41,2,FALSE),"Merchant not found")</f>
        <v/>
      </c>
      <c r="K140">
        <f>IFERROR(VLOOKUP(C140,Merchants!$A$2:$D$41,3,FALSE),"Merchant not found")</f>
        <v/>
      </c>
      <c r="L140">
        <f>IFERROR(VLOOKUP(C140,Merchants!$A$2:$D$41,4,FALSE),"Merchant not found")</f>
        <v/>
      </c>
      <c r="M140" s="5">
        <f>HLOOKUP(F140,Fee_Reference!$B$1:$E$2,2,FALSE)</f>
        <v/>
      </c>
      <c r="N140">
        <f>SUMIFS($E$2:$E$548,$C$2:$C$548,C140,$I$2:$I$548,I140)</f>
        <v/>
      </c>
      <c r="O140">
        <f>IF(J140="Merchant not found","Merchant not found",IF(AND(N140&gt;5000,L140&lt;&gt;"East"),"High-Value Merchant Day","Normal Merchant Day"))</f>
        <v/>
      </c>
    </row>
    <row r="141">
      <c r="A141" t="inlineStr">
        <is>
          <t>TXN100139</t>
        </is>
      </c>
      <c r="B141" t="n">
        <v>51</v>
      </c>
      <c r="C141" t="n">
        <v>7</v>
      </c>
      <c r="D141" s="3" t="n">
        <v>46046.10208333333</v>
      </c>
      <c r="E141" t="n">
        <v>499</v>
      </c>
      <c r="F141" t="inlineStr">
        <is>
          <t>Card</t>
        </is>
      </c>
      <c r="G141" t="inlineStr">
        <is>
          <t>captured</t>
        </is>
      </c>
      <c r="H141" t="n">
        <v>56</v>
      </c>
      <c r="I141" s="4">
        <f>INT(D141)</f>
        <v/>
      </c>
      <c r="J141">
        <f>IFERROR(VLOOKUP(C141,Merchants!$A$2:$D$41,2,FALSE),"Merchant not found")</f>
        <v/>
      </c>
      <c r="K141">
        <f>IFERROR(VLOOKUP(C141,Merchants!$A$2:$D$41,3,FALSE),"Merchant not found")</f>
        <v/>
      </c>
      <c r="L141">
        <f>IFERROR(VLOOKUP(C141,Merchants!$A$2:$D$41,4,FALSE),"Merchant not found")</f>
        <v/>
      </c>
      <c r="M141" s="5">
        <f>HLOOKUP(F141,Fee_Reference!$B$1:$E$2,2,FALSE)</f>
        <v/>
      </c>
      <c r="N141">
        <f>SUMIFS($E$2:$E$548,$C$2:$C$548,C141,$I$2:$I$548,I141)</f>
        <v/>
      </c>
      <c r="O141">
        <f>IF(J141="Merchant not found","Merchant not found",IF(AND(N141&gt;5000,L141&lt;&gt;"East"),"High-Value Merchant Day","Normal Merchant Day"))</f>
        <v/>
      </c>
    </row>
    <row r="142">
      <c r="A142" t="inlineStr">
        <is>
          <t>TXN100140</t>
        </is>
      </c>
      <c r="B142" t="n">
        <v>15</v>
      </c>
      <c r="C142" t="n">
        <v>3</v>
      </c>
      <c r="D142" s="3" t="n">
        <v>46028.92986111111</v>
      </c>
      <c r="E142" t="n">
        <v>799</v>
      </c>
      <c r="F142" t="inlineStr">
        <is>
          <t>UPI</t>
        </is>
      </c>
      <c r="G142" t="inlineStr">
        <is>
          <t>captured</t>
        </is>
      </c>
      <c r="H142" t="n">
        <v>41</v>
      </c>
      <c r="I142" s="4">
        <f>INT(D142)</f>
        <v/>
      </c>
      <c r="J142">
        <f>IFERROR(VLOOKUP(C142,Merchants!$A$2:$D$41,2,FALSE),"Merchant not found")</f>
        <v/>
      </c>
      <c r="K142">
        <f>IFERROR(VLOOKUP(C142,Merchants!$A$2:$D$41,3,FALSE),"Merchant not found")</f>
        <v/>
      </c>
      <c r="L142">
        <f>IFERROR(VLOOKUP(C142,Merchants!$A$2:$D$41,4,FALSE),"Merchant not found")</f>
        <v/>
      </c>
      <c r="M142" s="5">
        <f>HLOOKUP(F142,Fee_Reference!$B$1:$E$2,2,FALSE)</f>
        <v/>
      </c>
      <c r="N142">
        <f>SUMIFS($E$2:$E$548,$C$2:$C$548,C142,$I$2:$I$548,I142)</f>
        <v/>
      </c>
      <c r="O142">
        <f>IF(J142="Merchant not found","Merchant not found",IF(AND(N142&gt;5000,L142&lt;&gt;"East"),"High-Value Merchant Day","Normal Merchant Day"))</f>
        <v/>
      </c>
    </row>
    <row r="143">
      <c r="A143" t="inlineStr">
        <is>
          <t>TXN100141</t>
        </is>
      </c>
      <c r="B143" t="n">
        <v>184</v>
      </c>
      <c r="C143" t="n">
        <v>24</v>
      </c>
      <c r="D143" s="3" t="n">
        <v>46048.05416666667</v>
      </c>
      <c r="E143" t="n">
        <v>49</v>
      </c>
      <c r="F143" t="inlineStr">
        <is>
          <t>UPI</t>
        </is>
      </c>
      <c r="G143" t="inlineStr">
        <is>
          <t>captured</t>
        </is>
      </c>
      <c r="H143" t="n">
        <v>55</v>
      </c>
      <c r="I143" s="4">
        <f>INT(D143)</f>
        <v/>
      </c>
      <c r="J143">
        <f>IFERROR(VLOOKUP(C143,Merchants!$A$2:$D$41,2,FALSE),"Merchant not found")</f>
        <v/>
      </c>
      <c r="K143">
        <f>IFERROR(VLOOKUP(C143,Merchants!$A$2:$D$41,3,FALSE),"Merchant not found")</f>
        <v/>
      </c>
      <c r="L143">
        <f>IFERROR(VLOOKUP(C143,Merchants!$A$2:$D$41,4,FALSE),"Merchant not found")</f>
        <v/>
      </c>
      <c r="M143" s="5">
        <f>HLOOKUP(F143,Fee_Reference!$B$1:$E$2,2,FALSE)</f>
        <v/>
      </c>
      <c r="N143">
        <f>SUMIFS($E$2:$E$548,$C$2:$C$548,C143,$I$2:$I$548,I143)</f>
        <v/>
      </c>
      <c r="O143">
        <f>IF(J143="Merchant not found","Merchant not found",IF(AND(N143&gt;5000,L143&lt;&gt;"East"),"High-Value Merchant Day","Normal Merchant Day"))</f>
        <v/>
      </c>
    </row>
    <row r="144">
      <c r="A144" t="inlineStr">
        <is>
          <t>TXN100142</t>
        </is>
      </c>
      <c r="B144" t="n">
        <v>211</v>
      </c>
      <c r="C144" t="n">
        <v>37</v>
      </c>
      <c r="D144" s="3" t="n">
        <v>46027.31458333333</v>
      </c>
      <c r="E144" t="n">
        <v>1499</v>
      </c>
      <c r="F144" t="inlineStr">
        <is>
          <t>UPI</t>
        </is>
      </c>
      <c r="G144" t="inlineStr">
        <is>
          <t>captured</t>
        </is>
      </c>
      <c r="H144" t="n">
        <v>87</v>
      </c>
      <c r="I144" s="4">
        <f>INT(D144)</f>
        <v/>
      </c>
      <c r="J144">
        <f>IFERROR(VLOOKUP(C144,Merchants!$A$2:$D$41,2,FALSE),"Merchant not found")</f>
        <v/>
      </c>
      <c r="K144">
        <f>IFERROR(VLOOKUP(C144,Merchants!$A$2:$D$41,3,FALSE),"Merchant not found")</f>
        <v/>
      </c>
      <c r="L144">
        <f>IFERROR(VLOOKUP(C144,Merchants!$A$2:$D$41,4,FALSE),"Merchant not found")</f>
        <v/>
      </c>
      <c r="M144" s="5">
        <f>HLOOKUP(F144,Fee_Reference!$B$1:$E$2,2,FALSE)</f>
        <v/>
      </c>
      <c r="N144">
        <f>SUMIFS($E$2:$E$548,$C$2:$C$548,C144,$I$2:$I$548,I144)</f>
        <v/>
      </c>
      <c r="O144">
        <f>IF(J144="Merchant not found","Merchant not found",IF(AND(N144&gt;5000,L144&lt;&gt;"East"),"High-Value Merchant Day","Normal Merchant Day"))</f>
        <v/>
      </c>
    </row>
    <row r="145">
      <c r="A145" t="inlineStr">
        <is>
          <t>TXN100143</t>
        </is>
      </c>
      <c r="B145" t="n">
        <v>90</v>
      </c>
      <c r="C145" t="n">
        <v>6</v>
      </c>
      <c r="D145" s="3" t="n">
        <v>46048.21527777778</v>
      </c>
      <c r="E145" t="n">
        <v>49</v>
      </c>
      <c r="F145" t="inlineStr">
        <is>
          <t>Card</t>
        </is>
      </c>
      <c r="G145" t="inlineStr">
        <is>
          <t>captured</t>
        </is>
      </c>
      <c r="H145" t="n">
        <v>78</v>
      </c>
      <c r="I145" s="4">
        <f>INT(D145)</f>
        <v/>
      </c>
      <c r="J145">
        <f>IFERROR(VLOOKUP(C145,Merchants!$A$2:$D$41,2,FALSE),"Merchant not found")</f>
        <v/>
      </c>
      <c r="K145">
        <f>IFERROR(VLOOKUP(C145,Merchants!$A$2:$D$41,3,FALSE),"Merchant not found")</f>
        <v/>
      </c>
      <c r="L145">
        <f>IFERROR(VLOOKUP(C145,Merchants!$A$2:$D$41,4,FALSE),"Merchant not found")</f>
        <v/>
      </c>
      <c r="M145" s="5">
        <f>HLOOKUP(F145,Fee_Reference!$B$1:$E$2,2,FALSE)</f>
        <v/>
      </c>
      <c r="N145">
        <f>SUMIFS($E$2:$E$548,$C$2:$C$548,C145,$I$2:$I$548,I145)</f>
        <v/>
      </c>
      <c r="O145">
        <f>IF(J145="Merchant not found","Merchant not found",IF(AND(N145&gt;5000,L145&lt;&gt;"East"),"High-Value Merchant Day","Normal Merchant Day"))</f>
        <v/>
      </c>
    </row>
    <row r="146">
      <c r="A146" t="inlineStr">
        <is>
          <t>TXN100144</t>
        </is>
      </c>
      <c r="B146" t="n">
        <v>350</v>
      </c>
      <c r="C146" t="n">
        <v>16</v>
      </c>
      <c r="D146" s="3" t="n">
        <v>46050.52708333333</v>
      </c>
      <c r="E146" t="n">
        <v>49</v>
      </c>
      <c r="F146" t="inlineStr">
        <is>
          <t>UPI</t>
        </is>
      </c>
      <c r="G146" t="inlineStr">
        <is>
          <t>captured</t>
        </is>
      </c>
      <c r="H146" t="n">
        <v>63</v>
      </c>
      <c r="I146" s="4">
        <f>INT(D146)</f>
        <v/>
      </c>
      <c r="J146">
        <f>IFERROR(VLOOKUP(C146,Merchants!$A$2:$D$41,2,FALSE),"Merchant not found")</f>
        <v/>
      </c>
      <c r="K146">
        <f>IFERROR(VLOOKUP(C146,Merchants!$A$2:$D$41,3,FALSE),"Merchant not found")</f>
        <v/>
      </c>
      <c r="L146">
        <f>IFERROR(VLOOKUP(C146,Merchants!$A$2:$D$41,4,FALSE),"Merchant not found")</f>
        <v/>
      </c>
      <c r="M146" s="5">
        <f>HLOOKUP(F146,Fee_Reference!$B$1:$E$2,2,FALSE)</f>
        <v/>
      </c>
      <c r="N146">
        <f>SUMIFS($E$2:$E$548,$C$2:$C$548,C146,$I$2:$I$548,I146)</f>
        <v/>
      </c>
      <c r="O146">
        <f>IF(J146="Merchant not found","Merchant not found",IF(AND(N146&gt;5000,L146&lt;&gt;"East"),"High-Value Merchant Day","Normal Merchant Day"))</f>
        <v/>
      </c>
    </row>
    <row r="147">
      <c r="A147" t="inlineStr">
        <is>
          <t>TXN100145</t>
        </is>
      </c>
      <c r="B147" t="n">
        <v>119</v>
      </c>
      <c r="C147" t="n">
        <v>30</v>
      </c>
      <c r="D147" s="3" t="n">
        <v>46052.75625</v>
      </c>
      <c r="E147" t="n">
        <v>49</v>
      </c>
      <c r="F147" t="inlineStr">
        <is>
          <t>Card</t>
        </is>
      </c>
      <c r="G147" t="inlineStr">
        <is>
          <t>captured</t>
        </is>
      </c>
      <c r="H147" t="n">
        <v>81</v>
      </c>
      <c r="I147" s="4">
        <f>INT(D147)</f>
        <v/>
      </c>
      <c r="J147">
        <f>IFERROR(VLOOKUP(C147,Merchants!$A$2:$D$41,2,FALSE),"Merchant not found")</f>
        <v/>
      </c>
      <c r="K147">
        <f>IFERROR(VLOOKUP(C147,Merchants!$A$2:$D$41,3,FALSE),"Merchant not found")</f>
        <v/>
      </c>
      <c r="L147">
        <f>IFERROR(VLOOKUP(C147,Merchants!$A$2:$D$41,4,FALSE),"Merchant not found")</f>
        <v/>
      </c>
      <c r="M147" s="5">
        <f>HLOOKUP(F147,Fee_Reference!$B$1:$E$2,2,FALSE)</f>
        <v/>
      </c>
      <c r="N147">
        <f>SUMIFS($E$2:$E$548,$C$2:$C$548,C147,$I$2:$I$548,I147)</f>
        <v/>
      </c>
      <c r="O147">
        <f>IF(J147="Merchant not found","Merchant not found",IF(AND(N147&gt;5000,L147&lt;&gt;"East"),"High-Value Merchant Day","Normal Merchant Day"))</f>
        <v/>
      </c>
    </row>
    <row r="148">
      <c r="A148" t="inlineStr">
        <is>
          <t>TXN100146</t>
        </is>
      </c>
      <c r="B148" t="n">
        <v>342</v>
      </c>
      <c r="C148" t="n">
        <v>1</v>
      </c>
      <c r="D148" s="3" t="n">
        <v>46031.59444444445</v>
      </c>
      <c r="E148" t="n">
        <v>49</v>
      </c>
      <c r="F148" t="inlineStr">
        <is>
          <t>UPI</t>
        </is>
      </c>
      <c r="G148" t="inlineStr">
        <is>
          <t>captured</t>
        </is>
      </c>
      <c r="H148" t="n">
        <v>59</v>
      </c>
      <c r="I148" s="4">
        <f>INT(D148)</f>
        <v/>
      </c>
      <c r="J148">
        <f>IFERROR(VLOOKUP(C148,Merchants!$A$2:$D$41,2,FALSE),"Merchant not found")</f>
        <v/>
      </c>
      <c r="K148">
        <f>IFERROR(VLOOKUP(C148,Merchants!$A$2:$D$41,3,FALSE),"Merchant not found")</f>
        <v/>
      </c>
      <c r="L148">
        <f>IFERROR(VLOOKUP(C148,Merchants!$A$2:$D$41,4,FALSE),"Merchant not found")</f>
        <v/>
      </c>
      <c r="M148" s="5">
        <f>HLOOKUP(F148,Fee_Reference!$B$1:$E$2,2,FALSE)</f>
        <v/>
      </c>
      <c r="N148">
        <f>SUMIFS($E$2:$E$548,$C$2:$C$548,C148,$I$2:$I$548,I148)</f>
        <v/>
      </c>
      <c r="O148">
        <f>IF(J148="Merchant not found","Merchant not found",IF(AND(N148&gt;5000,L148&lt;&gt;"East"),"High-Value Merchant Day","Normal Merchant Day"))</f>
        <v/>
      </c>
    </row>
    <row r="149">
      <c r="A149" t="inlineStr">
        <is>
          <t>TXN100147</t>
        </is>
      </c>
      <c r="B149" t="n">
        <v>280</v>
      </c>
      <c r="C149" t="n">
        <v>11</v>
      </c>
      <c r="D149" s="3" t="n">
        <v>46051.40486111111</v>
      </c>
      <c r="E149" t="n">
        <v>149</v>
      </c>
      <c r="F149" t="inlineStr">
        <is>
          <t>UPI</t>
        </is>
      </c>
      <c r="G149" t="inlineStr">
        <is>
          <t>chargeback</t>
        </is>
      </c>
      <c r="H149" t="n">
        <v>9</v>
      </c>
      <c r="I149" s="4">
        <f>INT(D149)</f>
        <v/>
      </c>
      <c r="J149">
        <f>IFERROR(VLOOKUP(C149,Merchants!$A$2:$D$41,2,FALSE),"Merchant not found")</f>
        <v/>
      </c>
      <c r="K149">
        <f>IFERROR(VLOOKUP(C149,Merchants!$A$2:$D$41,3,FALSE),"Merchant not found")</f>
        <v/>
      </c>
      <c r="L149">
        <f>IFERROR(VLOOKUP(C149,Merchants!$A$2:$D$41,4,FALSE),"Merchant not found")</f>
        <v/>
      </c>
      <c r="M149" s="5">
        <f>HLOOKUP(F149,Fee_Reference!$B$1:$E$2,2,FALSE)</f>
        <v/>
      </c>
      <c r="N149">
        <f>SUMIFS($E$2:$E$548,$C$2:$C$548,C149,$I$2:$I$548,I149)</f>
        <v/>
      </c>
      <c r="O149">
        <f>IF(J149="Merchant not found","Merchant not found",IF(AND(N149&gt;5000,L149&lt;&gt;"East"),"High-Value Merchant Day","Normal Merchant Day"))</f>
        <v/>
      </c>
    </row>
    <row r="150">
      <c r="A150" t="inlineStr">
        <is>
          <t>TXN100148</t>
        </is>
      </c>
      <c r="B150" t="n">
        <v>154</v>
      </c>
      <c r="C150" t="n">
        <v>28</v>
      </c>
      <c r="D150" s="3" t="n">
        <v>46037.48402777778</v>
      </c>
      <c r="E150" t="n">
        <v>2999</v>
      </c>
      <c r="F150" t="inlineStr">
        <is>
          <t>Netbanking</t>
        </is>
      </c>
      <c r="G150" t="inlineStr">
        <is>
          <t>captured</t>
        </is>
      </c>
      <c r="H150" t="n">
        <v>88</v>
      </c>
      <c r="I150" s="4">
        <f>INT(D150)</f>
        <v/>
      </c>
      <c r="J150">
        <f>IFERROR(VLOOKUP(C150,Merchants!$A$2:$D$41,2,FALSE),"Merchant not found")</f>
        <v/>
      </c>
      <c r="K150">
        <f>IFERROR(VLOOKUP(C150,Merchants!$A$2:$D$41,3,FALSE),"Merchant not found")</f>
        <v/>
      </c>
      <c r="L150">
        <f>IFERROR(VLOOKUP(C150,Merchants!$A$2:$D$41,4,FALSE),"Merchant not found")</f>
        <v/>
      </c>
      <c r="M150" s="5">
        <f>HLOOKUP(F150,Fee_Reference!$B$1:$E$2,2,FALSE)</f>
        <v/>
      </c>
      <c r="N150">
        <f>SUMIFS($E$2:$E$548,$C$2:$C$548,C150,$I$2:$I$548,I150)</f>
        <v/>
      </c>
      <c r="O150">
        <f>IF(J150="Merchant not found","Merchant not found",IF(AND(N150&gt;5000,L150&lt;&gt;"East"),"High-Value Merchant Day","Normal Merchant Day"))</f>
        <v/>
      </c>
    </row>
    <row r="151">
      <c r="A151" t="inlineStr">
        <is>
          <t>TXN100149</t>
        </is>
      </c>
      <c r="B151" t="n">
        <v>155</v>
      </c>
      <c r="C151" t="n">
        <v>13</v>
      </c>
      <c r="D151" s="3" t="n">
        <v>46031.62083333333</v>
      </c>
      <c r="E151" t="n">
        <v>149</v>
      </c>
      <c r="F151" t="inlineStr">
        <is>
          <t>UPI</t>
        </is>
      </c>
      <c r="G151" t="inlineStr">
        <is>
          <t>captured</t>
        </is>
      </c>
      <c r="H151" t="n">
        <v>49</v>
      </c>
      <c r="I151" s="4">
        <f>INT(D151)</f>
        <v/>
      </c>
      <c r="J151">
        <f>IFERROR(VLOOKUP(C151,Merchants!$A$2:$D$41,2,FALSE),"Merchant not found")</f>
        <v/>
      </c>
      <c r="K151">
        <f>IFERROR(VLOOKUP(C151,Merchants!$A$2:$D$41,3,FALSE),"Merchant not found")</f>
        <v/>
      </c>
      <c r="L151">
        <f>IFERROR(VLOOKUP(C151,Merchants!$A$2:$D$41,4,FALSE),"Merchant not found")</f>
        <v/>
      </c>
      <c r="M151" s="5">
        <f>HLOOKUP(F151,Fee_Reference!$B$1:$E$2,2,FALSE)</f>
        <v/>
      </c>
      <c r="N151">
        <f>SUMIFS($E$2:$E$548,$C$2:$C$548,C151,$I$2:$I$548,I151)</f>
        <v/>
      </c>
      <c r="O151">
        <f>IF(J151="Merchant not found","Merchant not found",IF(AND(N151&gt;5000,L151&lt;&gt;"East"),"High-Value Merchant Day","Normal Merchant Day"))</f>
        <v/>
      </c>
    </row>
    <row r="152">
      <c r="A152" t="inlineStr">
        <is>
          <t>TXN100150</t>
        </is>
      </c>
      <c r="B152" t="n">
        <v>122</v>
      </c>
      <c r="C152" t="n">
        <v>25</v>
      </c>
      <c r="D152" s="3" t="n">
        <v>46050.62916666667</v>
      </c>
      <c r="E152" t="n">
        <v>299</v>
      </c>
      <c r="F152" t="inlineStr">
        <is>
          <t>UPI</t>
        </is>
      </c>
      <c r="G152" t="inlineStr">
        <is>
          <t>captured</t>
        </is>
      </c>
      <c r="H152" t="n">
        <v>73</v>
      </c>
      <c r="I152" s="4">
        <f>INT(D152)</f>
        <v/>
      </c>
      <c r="J152">
        <f>IFERROR(VLOOKUP(C152,Merchants!$A$2:$D$41,2,FALSE),"Merchant not found")</f>
        <v/>
      </c>
      <c r="K152">
        <f>IFERROR(VLOOKUP(C152,Merchants!$A$2:$D$41,3,FALSE),"Merchant not found")</f>
        <v/>
      </c>
      <c r="L152">
        <f>IFERROR(VLOOKUP(C152,Merchants!$A$2:$D$41,4,FALSE),"Merchant not found")</f>
        <v/>
      </c>
      <c r="M152" s="5">
        <f>HLOOKUP(F152,Fee_Reference!$B$1:$E$2,2,FALSE)</f>
        <v/>
      </c>
      <c r="N152">
        <f>SUMIFS($E$2:$E$548,$C$2:$C$548,C152,$I$2:$I$548,I152)</f>
        <v/>
      </c>
      <c r="O152">
        <f>IF(J152="Merchant not found","Merchant not found",IF(AND(N152&gt;5000,L152&lt;&gt;"East"),"High-Value Merchant Day","Normal Merchant Day"))</f>
        <v/>
      </c>
    </row>
    <row r="153">
      <c r="A153" t="inlineStr">
        <is>
          <t>TXN100151</t>
        </is>
      </c>
      <c r="B153" t="n">
        <v>152</v>
      </c>
      <c r="C153" t="n">
        <v>2</v>
      </c>
      <c r="D153" s="3" t="n">
        <v>46034.7625</v>
      </c>
      <c r="E153" t="n">
        <v>49</v>
      </c>
      <c r="F153" t="inlineStr">
        <is>
          <t>UPI</t>
        </is>
      </c>
      <c r="G153" t="inlineStr">
        <is>
          <t>captured</t>
        </is>
      </c>
      <c r="H153" t="n">
        <v>84</v>
      </c>
      <c r="I153" s="4">
        <f>INT(D153)</f>
        <v/>
      </c>
      <c r="J153">
        <f>IFERROR(VLOOKUP(C153,Merchants!$A$2:$D$41,2,FALSE),"Merchant not found")</f>
        <v/>
      </c>
      <c r="K153">
        <f>IFERROR(VLOOKUP(C153,Merchants!$A$2:$D$41,3,FALSE),"Merchant not found")</f>
        <v/>
      </c>
      <c r="L153">
        <f>IFERROR(VLOOKUP(C153,Merchants!$A$2:$D$41,4,FALSE),"Merchant not found")</f>
        <v/>
      </c>
      <c r="M153" s="5">
        <f>HLOOKUP(F153,Fee_Reference!$B$1:$E$2,2,FALSE)</f>
        <v/>
      </c>
      <c r="N153">
        <f>SUMIFS($E$2:$E$548,$C$2:$C$548,C153,$I$2:$I$548,I153)</f>
        <v/>
      </c>
      <c r="O153">
        <f>IF(J153="Merchant not found","Merchant not found",IF(AND(N153&gt;5000,L153&lt;&gt;"East"),"High-Value Merchant Day","Normal Merchant Day"))</f>
        <v/>
      </c>
    </row>
    <row r="154">
      <c r="A154" t="inlineStr">
        <is>
          <t>TXN100152</t>
        </is>
      </c>
      <c r="B154" t="n">
        <v>290</v>
      </c>
      <c r="C154" t="n">
        <v>4</v>
      </c>
      <c r="D154" s="3" t="n">
        <v>46035.33333333334</v>
      </c>
      <c r="E154" t="n">
        <v>149</v>
      </c>
      <c r="F154" t="inlineStr">
        <is>
          <t>UPI</t>
        </is>
      </c>
      <c r="G154" t="inlineStr">
        <is>
          <t>captured</t>
        </is>
      </c>
      <c r="H154" t="n">
        <v>77</v>
      </c>
      <c r="I154" s="4">
        <f>INT(D154)</f>
        <v/>
      </c>
      <c r="J154">
        <f>IFERROR(VLOOKUP(C154,Merchants!$A$2:$D$41,2,FALSE),"Merchant not found")</f>
        <v/>
      </c>
      <c r="K154">
        <f>IFERROR(VLOOKUP(C154,Merchants!$A$2:$D$41,3,FALSE),"Merchant not found")</f>
        <v/>
      </c>
      <c r="L154">
        <f>IFERROR(VLOOKUP(C154,Merchants!$A$2:$D$41,4,FALSE),"Merchant not found")</f>
        <v/>
      </c>
      <c r="M154" s="5">
        <f>HLOOKUP(F154,Fee_Reference!$B$1:$E$2,2,FALSE)</f>
        <v/>
      </c>
      <c r="N154">
        <f>SUMIFS($E$2:$E$548,$C$2:$C$548,C154,$I$2:$I$548,I154)</f>
        <v/>
      </c>
      <c r="O154">
        <f>IF(J154="Merchant not found","Merchant not found",IF(AND(N154&gt;5000,L154&lt;&gt;"East"),"High-Value Merchant Day","Normal Merchant Day"))</f>
        <v/>
      </c>
    </row>
    <row r="155">
      <c r="A155" t="inlineStr">
        <is>
          <t>TXN100153</t>
        </is>
      </c>
      <c r="B155" t="n">
        <v>147</v>
      </c>
      <c r="C155" t="n">
        <v>15</v>
      </c>
      <c r="D155" s="3" t="n">
        <v>46046.66180555556</v>
      </c>
      <c r="E155" t="n">
        <v>49</v>
      </c>
      <c r="F155" t="inlineStr">
        <is>
          <t>Wallet</t>
        </is>
      </c>
      <c r="G155" t="inlineStr">
        <is>
          <t>captured</t>
        </is>
      </c>
      <c r="H155" t="n">
        <v>77</v>
      </c>
      <c r="I155" s="4">
        <f>INT(D155)</f>
        <v/>
      </c>
      <c r="J155">
        <f>IFERROR(VLOOKUP(C155,Merchants!$A$2:$D$41,2,FALSE),"Merchant not found")</f>
        <v/>
      </c>
      <c r="K155">
        <f>IFERROR(VLOOKUP(C155,Merchants!$A$2:$D$41,3,FALSE),"Merchant not found")</f>
        <v/>
      </c>
      <c r="L155">
        <f>IFERROR(VLOOKUP(C155,Merchants!$A$2:$D$41,4,FALSE),"Merchant not found")</f>
        <v/>
      </c>
      <c r="M155" s="5">
        <f>HLOOKUP(F155,Fee_Reference!$B$1:$E$2,2,FALSE)</f>
        <v/>
      </c>
      <c r="N155">
        <f>SUMIFS($E$2:$E$548,$C$2:$C$548,C155,$I$2:$I$548,I155)</f>
        <v/>
      </c>
      <c r="O155">
        <f>IF(J155="Merchant not found","Merchant not found",IF(AND(N155&gt;5000,L155&lt;&gt;"East"),"High-Value Merchant Day","Normal Merchant Day"))</f>
        <v/>
      </c>
    </row>
    <row r="156">
      <c r="A156" t="inlineStr">
        <is>
          <t>TXN100154</t>
        </is>
      </c>
      <c r="B156" t="n">
        <v>326</v>
      </c>
      <c r="C156" t="n">
        <v>13</v>
      </c>
      <c r="D156" s="3" t="n">
        <v>46048.46805555555</v>
      </c>
      <c r="E156" t="n">
        <v>299</v>
      </c>
      <c r="F156" t="inlineStr">
        <is>
          <t>Netbanking</t>
        </is>
      </c>
      <c r="G156" t="inlineStr">
        <is>
          <t>captured</t>
        </is>
      </c>
      <c r="H156" t="n">
        <v>79</v>
      </c>
      <c r="I156" s="4">
        <f>INT(D156)</f>
        <v/>
      </c>
      <c r="J156">
        <f>IFERROR(VLOOKUP(C156,Merchants!$A$2:$D$41,2,FALSE),"Merchant not found")</f>
        <v/>
      </c>
      <c r="K156">
        <f>IFERROR(VLOOKUP(C156,Merchants!$A$2:$D$41,3,FALSE),"Merchant not found")</f>
        <v/>
      </c>
      <c r="L156">
        <f>IFERROR(VLOOKUP(C156,Merchants!$A$2:$D$41,4,FALSE),"Merchant not found")</f>
        <v/>
      </c>
      <c r="M156" s="5">
        <f>HLOOKUP(F156,Fee_Reference!$B$1:$E$2,2,FALSE)</f>
        <v/>
      </c>
      <c r="N156">
        <f>SUMIFS($E$2:$E$548,$C$2:$C$548,C156,$I$2:$I$548,I156)</f>
        <v/>
      </c>
      <c r="O156">
        <f>IF(J156="Merchant not found","Merchant not found",IF(AND(N156&gt;5000,L156&lt;&gt;"East"),"High-Value Merchant Day","Normal Merchant Day"))</f>
        <v/>
      </c>
    </row>
    <row r="157">
      <c r="A157" t="inlineStr">
        <is>
          <t>TXN100155</t>
        </is>
      </c>
      <c r="B157" t="n">
        <v>338</v>
      </c>
      <c r="C157" t="n">
        <v>9</v>
      </c>
      <c r="D157" s="3" t="n">
        <v>46031.90833333333</v>
      </c>
      <c r="E157" t="n">
        <v>99</v>
      </c>
      <c r="F157" t="inlineStr">
        <is>
          <t>Card</t>
        </is>
      </c>
      <c r="G157" t="inlineStr">
        <is>
          <t>captured</t>
        </is>
      </c>
      <c r="H157" t="n">
        <v>80</v>
      </c>
      <c r="I157" s="4">
        <f>INT(D157)</f>
        <v/>
      </c>
      <c r="J157">
        <f>IFERROR(VLOOKUP(C157,Merchants!$A$2:$D$41,2,FALSE),"Merchant not found")</f>
        <v/>
      </c>
      <c r="K157">
        <f>IFERROR(VLOOKUP(C157,Merchants!$A$2:$D$41,3,FALSE),"Merchant not found")</f>
        <v/>
      </c>
      <c r="L157">
        <f>IFERROR(VLOOKUP(C157,Merchants!$A$2:$D$41,4,FALSE),"Merchant not found")</f>
        <v/>
      </c>
      <c r="M157" s="5">
        <f>HLOOKUP(F157,Fee_Reference!$B$1:$E$2,2,FALSE)</f>
        <v/>
      </c>
      <c r="N157">
        <f>SUMIFS($E$2:$E$548,$C$2:$C$548,C157,$I$2:$I$548,I157)</f>
        <v/>
      </c>
      <c r="O157">
        <f>IF(J157="Merchant not found","Merchant not found",IF(AND(N157&gt;5000,L157&lt;&gt;"East"),"High-Value Merchant Day","Normal Merchant Day"))</f>
        <v/>
      </c>
    </row>
    <row r="158">
      <c r="A158" t="inlineStr">
        <is>
          <t>TXN100156</t>
        </is>
      </c>
      <c r="B158" t="n">
        <v>21</v>
      </c>
      <c r="C158" t="n">
        <v>20</v>
      </c>
      <c r="D158" s="3" t="n">
        <v>46026.86180555556</v>
      </c>
      <c r="E158" t="n">
        <v>2999</v>
      </c>
      <c r="F158" t="inlineStr">
        <is>
          <t>UPI</t>
        </is>
      </c>
      <c r="G158" t="inlineStr">
        <is>
          <t>captured</t>
        </is>
      </c>
      <c r="H158" t="n">
        <v>100</v>
      </c>
      <c r="I158" s="4">
        <f>INT(D158)</f>
        <v/>
      </c>
      <c r="J158">
        <f>IFERROR(VLOOKUP(C158,Merchants!$A$2:$D$41,2,FALSE),"Merchant not found")</f>
        <v/>
      </c>
      <c r="K158">
        <f>IFERROR(VLOOKUP(C158,Merchants!$A$2:$D$41,3,FALSE),"Merchant not found")</f>
        <v/>
      </c>
      <c r="L158">
        <f>IFERROR(VLOOKUP(C158,Merchants!$A$2:$D$41,4,FALSE),"Merchant not found")</f>
        <v/>
      </c>
      <c r="M158" s="5">
        <f>HLOOKUP(F158,Fee_Reference!$B$1:$E$2,2,FALSE)</f>
        <v/>
      </c>
      <c r="N158">
        <f>SUMIFS($E$2:$E$548,$C$2:$C$548,C158,$I$2:$I$548,I158)</f>
        <v/>
      </c>
      <c r="O158">
        <f>IF(J158="Merchant not found","Merchant not found",IF(AND(N158&gt;5000,L158&lt;&gt;"East"),"High-Value Merchant Day","Normal Merchant Day"))</f>
        <v/>
      </c>
    </row>
    <row r="159">
      <c r="A159" t="inlineStr">
        <is>
          <t>TXN100157</t>
        </is>
      </c>
      <c r="B159" t="n">
        <v>187</v>
      </c>
      <c r="C159" t="n">
        <v>9</v>
      </c>
      <c r="D159" s="3" t="n">
        <v>46037.06736111111</v>
      </c>
      <c r="E159" t="n">
        <v>49</v>
      </c>
      <c r="F159" t="inlineStr">
        <is>
          <t>Card</t>
        </is>
      </c>
      <c r="G159" t="inlineStr">
        <is>
          <t>failed</t>
        </is>
      </c>
      <c r="H159" t="n">
        <v>11</v>
      </c>
      <c r="I159" s="4">
        <f>INT(D159)</f>
        <v/>
      </c>
      <c r="J159">
        <f>IFERROR(VLOOKUP(C159,Merchants!$A$2:$D$41,2,FALSE),"Merchant not found")</f>
        <v/>
      </c>
      <c r="K159">
        <f>IFERROR(VLOOKUP(C159,Merchants!$A$2:$D$41,3,FALSE),"Merchant not found")</f>
        <v/>
      </c>
      <c r="L159">
        <f>IFERROR(VLOOKUP(C159,Merchants!$A$2:$D$41,4,FALSE),"Merchant not found")</f>
        <v/>
      </c>
      <c r="M159" s="5">
        <f>HLOOKUP(F159,Fee_Reference!$B$1:$E$2,2,FALSE)</f>
        <v/>
      </c>
      <c r="N159">
        <f>SUMIFS($E$2:$E$548,$C$2:$C$548,C159,$I$2:$I$548,I159)</f>
        <v/>
      </c>
      <c r="O159">
        <f>IF(J159="Merchant not found","Merchant not found",IF(AND(N159&gt;5000,L159&lt;&gt;"East"),"High-Value Merchant Day","Normal Merchant Day"))</f>
        <v/>
      </c>
    </row>
    <row r="160">
      <c r="A160" t="inlineStr">
        <is>
          <t>TXN100158</t>
        </is>
      </c>
      <c r="B160" t="n">
        <v>213</v>
      </c>
      <c r="C160" t="n">
        <v>12</v>
      </c>
      <c r="D160" s="3" t="n">
        <v>46052.38888888889</v>
      </c>
      <c r="E160" t="n">
        <v>4999</v>
      </c>
      <c r="F160" t="inlineStr">
        <is>
          <t>UPI</t>
        </is>
      </c>
      <c r="G160" t="inlineStr">
        <is>
          <t>captured</t>
        </is>
      </c>
      <c r="H160" t="n">
        <v>25</v>
      </c>
      <c r="I160" s="4">
        <f>INT(D160)</f>
        <v/>
      </c>
      <c r="J160">
        <f>IFERROR(VLOOKUP(C160,Merchants!$A$2:$D$41,2,FALSE),"Merchant not found")</f>
        <v/>
      </c>
      <c r="K160">
        <f>IFERROR(VLOOKUP(C160,Merchants!$A$2:$D$41,3,FALSE),"Merchant not found")</f>
        <v/>
      </c>
      <c r="L160">
        <f>IFERROR(VLOOKUP(C160,Merchants!$A$2:$D$41,4,FALSE),"Merchant not found")</f>
        <v/>
      </c>
      <c r="M160" s="5">
        <f>HLOOKUP(F160,Fee_Reference!$B$1:$E$2,2,FALSE)</f>
        <v/>
      </c>
      <c r="N160">
        <f>SUMIFS($E$2:$E$548,$C$2:$C$548,C160,$I$2:$I$548,I160)</f>
        <v/>
      </c>
      <c r="O160">
        <f>IF(J160="Merchant not found","Merchant not found",IF(AND(N160&gt;5000,L160&lt;&gt;"East"),"High-Value Merchant Day","Normal Merchant Day"))</f>
        <v/>
      </c>
    </row>
    <row r="161">
      <c r="A161" t="inlineStr">
        <is>
          <t>TXN100159</t>
        </is>
      </c>
      <c r="B161" t="n">
        <v>188</v>
      </c>
      <c r="C161" t="n">
        <v>34</v>
      </c>
      <c r="D161" s="3" t="n">
        <v>46027.74722222222</v>
      </c>
      <c r="E161" t="n">
        <v>2999</v>
      </c>
      <c r="F161" t="inlineStr">
        <is>
          <t>UPI</t>
        </is>
      </c>
      <c r="G161" t="inlineStr">
        <is>
          <t>captured</t>
        </is>
      </c>
      <c r="H161" t="n">
        <v>64</v>
      </c>
      <c r="I161" s="4">
        <f>INT(D161)</f>
        <v/>
      </c>
      <c r="J161">
        <f>IFERROR(VLOOKUP(C161,Merchants!$A$2:$D$41,2,FALSE),"Merchant not found")</f>
        <v/>
      </c>
      <c r="K161">
        <f>IFERROR(VLOOKUP(C161,Merchants!$A$2:$D$41,3,FALSE),"Merchant not found")</f>
        <v/>
      </c>
      <c r="L161">
        <f>IFERROR(VLOOKUP(C161,Merchants!$A$2:$D$41,4,FALSE),"Merchant not found")</f>
        <v/>
      </c>
      <c r="M161" s="5">
        <f>HLOOKUP(F161,Fee_Reference!$B$1:$E$2,2,FALSE)</f>
        <v/>
      </c>
      <c r="N161">
        <f>SUMIFS($E$2:$E$548,$C$2:$C$548,C161,$I$2:$I$548,I161)</f>
        <v/>
      </c>
      <c r="O161">
        <f>IF(J161="Merchant not found","Merchant not found",IF(AND(N161&gt;5000,L161&lt;&gt;"East"),"High-Value Merchant Day","Normal Merchant Day"))</f>
        <v/>
      </c>
    </row>
    <row r="162">
      <c r="A162" t="inlineStr">
        <is>
          <t>TXN100160</t>
        </is>
      </c>
      <c r="B162" t="n">
        <v>85</v>
      </c>
      <c r="C162" t="n">
        <v>17</v>
      </c>
      <c r="D162" s="3" t="n">
        <v>46052.37013888889</v>
      </c>
      <c r="E162" t="n">
        <v>499</v>
      </c>
      <c r="F162" t="inlineStr">
        <is>
          <t>UPI</t>
        </is>
      </c>
      <c r="G162" t="inlineStr">
        <is>
          <t>captured</t>
        </is>
      </c>
      <c r="H162" t="n">
        <v>61</v>
      </c>
      <c r="I162" s="4">
        <f>INT(D162)</f>
        <v/>
      </c>
      <c r="J162">
        <f>IFERROR(VLOOKUP(C162,Merchants!$A$2:$D$41,2,FALSE),"Merchant not found")</f>
        <v/>
      </c>
      <c r="K162">
        <f>IFERROR(VLOOKUP(C162,Merchants!$A$2:$D$41,3,FALSE),"Merchant not found")</f>
        <v/>
      </c>
      <c r="L162">
        <f>IFERROR(VLOOKUP(C162,Merchants!$A$2:$D$41,4,FALSE),"Merchant not found")</f>
        <v/>
      </c>
      <c r="M162" s="5">
        <f>HLOOKUP(F162,Fee_Reference!$B$1:$E$2,2,FALSE)</f>
        <v/>
      </c>
      <c r="N162">
        <f>SUMIFS($E$2:$E$548,$C$2:$C$548,C162,$I$2:$I$548,I162)</f>
        <v/>
      </c>
      <c r="O162">
        <f>IF(J162="Merchant not found","Merchant not found",IF(AND(N162&gt;5000,L162&lt;&gt;"East"),"High-Value Merchant Day","Normal Merchant Day"))</f>
        <v/>
      </c>
    </row>
    <row r="163">
      <c r="A163" t="inlineStr">
        <is>
          <t>TXN100161</t>
        </is>
      </c>
      <c r="B163" t="n">
        <v>174</v>
      </c>
      <c r="C163" t="n">
        <v>8</v>
      </c>
      <c r="D163" s="3" t="n">
        <v>46048.40763888889</v>
      </c>
      <c r="E163" t="n">
        <v>299</v>
      </c>
      <c r="F163" t="inlineStr">
        <is>
          <t>Netbanking</t>
        </is>
      </c>
      <c r="G163" t="inlineStr">
        <is>
          <t>captured</t>
        </is>
      </c>
      <c r="H163" t="n">
        <v>59</v>
      </c>
      <c r="I163" s="4">
        <f>INT(D163)</f>
        <v/>
      </c>
      <c r="J163">
        <f>IFERROR(VLOOKUP(C163,Merchants!$A$2:$D$41,2,FALSE),"Merchant not found")</f>
        <v/>
      </c>
      <c r="K163">
        <f>IFERROR(VLOOKUP(C163,Merchants!$A$2:$D$41,3,FALSE),"Merchant not found")</f>
        <v/>
      </c>
      <c r="L163">
        <f>IFERROR(VLOOKUP(C163,Merchants!$A$2:$D$41,4,FALSE),"Merchant not found")</f>
        <v/>
      </c>
      <c r="M163" s="5">
        <f>HLOOKUP(F163,Fee_Reference!$B$1:$E$2,2,FALSE)</f>
        <v/>
      </c>
      <c r="N163">
        <f>SUMIFS($E$2:$E$548,$C$2:$C$548,C163,$I$2:$I$548,I163)</f>
        <v/>
      </c>
      <c r="O163">
        <f>IF(J163="Merchant not found","Merchant not found",IF(AND(N163&gt;5000,L163&lt;&gt;"East"),"High-Value Merchant Day","Normal Merchant Day"))</f>
        <v/>
      </c>
    </row>
    <row r="164">
      <c r="A164" t="inlineStr">
        <is>
          <t>TXN100162</t>
        </is>
      </c>
      <c r="B164" t="n">
        <v>116</v>
      </c>
      <c r="C164" t="n">
        <v>26</v>
      </c>
      <c r="D164" s="3" t="n">
        <v>46025.2</v>
      </c>
      <c r="E164" t="n">
        <v>99</v>
      </c>
      <c r="F164" t="inlineStr">
        <is>
          <t>Netbanking</t>
        </is>
      </c>
      <c r="G164" t="inlineStr">
        <is>
          <t>captured</t>
        </is>
      </c>
      <c r="H164" t="n">
        <v>71</v>
      </c>
      <c r="I164" s="4">
        <f>INT(D164)</f>
        <v/>
      </c>
      <c r="J164">
        <f>IFERROR(VLOOKUP(C164,Merchants!$A$2:$D$41,2,FALSE),"Merchant not found")</f>
        <v/>
      </c>
      <c r="K164">
        <f>IFERROR(VLOOKUP(C164,Merchants!$A$2:$D$41,3,FALSE),"Merchant not found")</f>
        <v/>
      </c>
      <c r="L164">
        <f>IFERROR(VLOOKUP(C164,Merchants!$A$2:$D$41,4,FALSE),"Merchant not found")</f>
        <v/>
      </c>
      <c r="M164" s="5">
        <f>HLOOKUP(F164,Fee_Reference!$B$1:$E$2,2,FALSE)</f>
        <v/>
      </c>
      <c r="N164">
        <f>SUMIFS($E$2:$E$548,$C$2:$C$548,C164,$I$2:$I$548,I164)</f>
        <v/>
      </c>
      <c r="O164">
        <f>IF(J164="Merchant not found","Merchant not found",IF(AND(N164&gt;5000,L164&lt;&gt;"East"),"High-Value Merchant Day","Normal Merchant Day"))</f>
        <v/>
      </c>
    </row>
    <row r="165">
      <c r="A165" t="inlineStr">
        <is>
          <t>TXN100163</t>
        </is>
      </c>
      <c r="B165" t="n">
        <v>203</v>
      </c>
      <c r="C165" t="n">
        <v>1</v>
      </c>
      <c r="D165" s="3" t="n">
        <v>46034.11805555555</v>
      </c>
      <c r="E165" t="n">
        <v>149</v>
      </c>
      <c r="F165" t="inlineStr">
        <is>
          <t>Wallet</t>
        </is>
      </c>
      <c r="G165" t="inlineStr">
        <is>
          <t>captured</t>
        </is>
      </c>
      <c r="H165" t="n">
        <v>33</v>
      </c>
      <c r="I165" s="4">
        <f>INT(D165)</f>
        <v/>
      </c>
      <c r="J165">
        <f>IFERROR(VLOOKUP(C165,Merchants!$A$2:$D$41,2,FALSE),"Merchant not found")</f>
        <v/>
      </c>
      <c r="K165">
        <f>IFERROR(VLOOKUP(C165,Merchants!$A$2:$D$41,3,FALSE),"Merchant not found")</f>
        <v/>
      </c>
      <c r="L165">
        <f>IFERROR(VLOOKUP(C165,Merchants!$A$2:$D$41,4,FALSE),"Merchant not found")</f>
        <v/>
      </c>
      <c r="M165" s="5">
        <f>HLOOKUP(F165,Fee_Reference!$B$1:$E$2,2,FALSE)</f>
        <v/>
      </c>
      <c r="N165">
        <f>SUMIFS($E$2:$E$548,$C$2:$C$548,C165,$I$2:$I$548,I165)</f>
        <v/>
      </c>
      <c r="O165">
        <f>IF(J165="Merchant not found","Merchant not found",IF(AND(N165&gt;5000,L165&lt;&gt;"East"),"High-Value Merchant Day","Normal Merchant Day"))</f>
        <v/>
      </c>
    </row>
    <row r="166">
      <c r="A166" t="inlineStr">
        <is>
          <t>TXN100164</t>
        </is>
      </c>
      <c r="B166" t="n">
        <v>189</v>
      </c>
      <c r="C166" t="n">
        <v>17</v>
      </c>
      <c r="D166" s="3" t="n">
        <v>46040.14513888889</v>
      </c>
      <c r="E166" t="n">
        <v>99</v>
      </c>
      <c r="F166" t="inlineStr">
        <is>
          <t>UPI</t>
        </is>
      </c>
      <c r="G166" t="inlineStr">
        <is>
          <t>captured</t>
        </is>
      </c>
      <c r="H166" t="n">
        <v>74</v>
      </c>
      <c r="I166" s="4">
        <f>INT(D166)</f>
        <v/>
      </c>
      <c r="J166">
        <f>IFERROR(VLOOKUP(C166,Merchants!$A$2:$D$41,2,FALSE),"Merchant not found")</f>
        <v/>
      </c>
      <c r="K166">
        <f>IFERROR(VLOOKUP(C166,Merchants!$A$2:$D$41,3,FALSE),"Merchant not found")</f>
        <v/>
      </c>
      <c r="L166">
        <f>IFERROR(VLOOKUP(C166,Merchants!$A$2:$D$41,4,FALSE),"Merchant not found")</f>
        <v/>
      </c>
      <c r="M166" s="5">
        <f>HLOOKUP(F166,Fee_Reference!$B$1:$E$2,2,FALSE)</f>
        <v/>
      </c>
      <c r="N166">
        <f>SUMIFS($E$2:$E$548,$C$2:$C$548,C166,$I$2:$I$548,I166)</f>
        <v/>
      </c>
      <c r="O166">
        <f>IF(J166="Merchant not found","Merchant not found",IF(AND(N166&gt;5000,L166&lt;&gt;"East"),"High-Value Merchant Day","Normal Merchant Day"))</f>
        <v/>
      </c>
    </row>
    <row r="167">
      <c r="A167" t="inlineStr">
        <is>
          <t>TXN100165</t>
        </is>
      </c>
      <c r="B167" t="n">
        <v>56</v>
      </c>
      <c r="C167" t="n">
        <v>15</v>
      </c>
      <c r="D167" s="3" t="n">
        <v>46035.84930555556</v>
      </c>
      <c r="E167" t="n">
        <v>299</v>
      </c>
      <c r="F167" t="inlineStr">
        <is>
          <t>UPI</t>
        </is>
      </c>
      <c r="G167" t="inlineStr">
        <is>
          <t>captured</t>
        </is>
      </c>
      <c r="H167" t="n">
        <v>60</v>
      </c>
      <c r="I167" s="4">
        <f>INT(D167)</f>
        <v/>
      </c>
      <c r="J167">
        <f>IFERROR(VLOOKUP(C167,Merchants!$A$2:$D$41,2,FALSE),"Merchant not found")</f>
        <v/>
      </c>
      <c r="K167">
        <f>IFERROR(VLOOKUP(C167,Merchants!$A$2:$D$41,3,FALSE),"Merchant not found")</f>
        <v/>
      </c>
      <c r="L167">
        <f>IFERROR(VLOOKUP(C167,Merchants!$A$2:$D$41,4,FALSE),"Merchant not found")</f>
        <v/>
      </c>
      <c r="M167" s="5">
        <f>HLOOKUP(F167,Fee_Reference!$B$1:$E$2,2,FALSE)</f>
        <v/>
      </c>
      <c r="N167">
        <f>SUMIFS($E$2:$E$548,$C$2:$C$548,C167,$I$2:$I$548,I167)</f>
        <v/>
      </c>
      <c r="O167">
        <f>IF(J167="Merchant not found","Merchant not found",IF(AND(N167&gt;5000,L167&lt;&gt;"East"),"High-Value Merchant Day","Normal Merchant Day"))</f>
        <v/>
      </c>
    </row>
    <row r="168">
      <c r="A168" t="inlineStr">
        <is>
          <t>TXN100166</t>
        </is>
      </c>
      <c r="B168" t="n">
        <v>288</v>
      </c>
      <c r="C168" t="n">
        <v>21</v>
      </c>
      <c r="D168" s="3" t="n">
        <v>46023.83055555556</v>
      </c>
      <c r="E168" t="n">
        <v>4999</v>
      </c>
      <c r="F168" t="inlineStr">
        <is>
          <t>Wallet</t>
        </is>
      </c>
      <c r="G168" t="inlineStr">
        <is>
          <t>failed</t>
        </is>
      </c>
      <c r="H168" t="n">
        <v>78</v>
      </c>
      <c r="I168" s="4">
        <f>INT(D168)</f>
        <v/>
      </c>
      <c r="J168">
        <f>IFERROR(VLOOKUP(C168,Merchants!$A$2:$D$41,2,FALSE),"Merchant not found")</f>
        <v/>
      </c>
      <c r="K168">
        <f>IFERROR(VLOOKUP(C168,Merchants!$A$2:$D$41,3,FALSE),"Merchant not found")</f>
        <v/>
      </c>
      <c r="L168">
        <f>IFERROR(VLOOKUP(C168,Merchants!$A$2:$D$41,4,FALSE),"Merchant not found")</f>
        <v/>
      </c>
      <c r="M168" s="5">
        <f>HLOOKUP(F168,Fee_Reference!$B$1:$E$2,2,FALSE)</f>
        <v/>
      </c>
      <c r="N168">
        <f>SUMIFS($E$2:$E$548,$C$2:$C$548,C168,$I$2:$I$548,I168)</f>
        <v/>
      </c>
      <c r="O168">
        <f>IF(J168="Merchant not found","Merchant not found",IF(AND(N168&gt;5000,L168&lt;&gt;"East"),"High-Value Merchant Day","Normal Merchant Day"))</f>
        <v/>
      </c>
    </row>
    <row r="169">
      <c r="A169" t="inlineStr">
        <is>
          <t>TXN100167</t>
        </is>
      </c>
      <c r="B169" t="n">
        <v>326</v>
      </c>
      <c r="C169" t="n">
        <v>30</v>
      </c>
      <c r="D169" s="3" t="n">
        <v>46030.83611111111</v>
      </c>
      <c r="E169" t="n">
        <v>99</v>
      </c>
      <c r="F169" t="inlineStr">
        <is>
          <t>Card</t>
        </is>
      </c>
      <c r="G169" t="inlineStr">
        <is>
          <t>captured</t>
        </is>
      </c>
      <c r="H169" t="n">
        <v>89</v>
      </c>
      <c r="I169" s="4">
        <f>INT(D169)</f>
        <v/>
      </c>
      <c r="J169">
        <f>IFERROR(VLOOKUP(C169,Merchants!$A$2:$D$41,2,FALSE),"Merchant not found")</f>
        <v/>
      </c>
      <c r="K169">
        <f>IFERROR(VLOOKUP(C169,Merchants!$A$2:$D$41,3,FALSE),"Merchant not found")</f>
        <v/>
      </c>
      <c r="L169">
        <f>IFERROR(VLOOKUP(C169,Merchants!$A$2:$D$41,4,FALSE),"Merchant not found")</f>
        <v/>
      </c>
      <c r="M169" s="5">
        <f>HLOOKUP(F169,Fee_Reference!$B$1:$E$2,2,FALSE)</f>
        <v/>
      </c>
      <c r="N169">
        <f>SUMIFS($E$2:$E$548,$C$2:$C$548,C169,$I$2:$I$548,I169)</f>
        <v/>
      </c>
      <c r="O169">
        <f>IF(J169="Merchant not found","Merchant not found",IF(AND(N169&gt;5000,L169&lt;&gt;"East"),"High-Value Merchant Day","Normal Merchant Day"))</f>
        <v/>
      </c>
    </row>
    <row r="170">
      <c r="A170" t="inlineStr">
        <is>
          <t>TXN100168</t>
        </is>
      </c>
      <c r="B170" t="n">
        <v>60</v>
      </c>
      <c r="C170" t="n">
        <v>9</v>
      </c>
      <c r="D170" s="3" t="n">
        <v>46032.85138888889</v>
      </c>
      <c r="E170" t="n">
        <v>49</v>
      </c>
      <c r="F170" t="inlineStr">
        <is>
          <t>Netbanking</t>
        </is>
      </c>
      <c r="G170" t="inlineStr">
        <is>
          <t>captured</t>
        </is>
      </c>
      <c r="H170" t="n">
        <v>5</v>
      </c>
      <c r="I170" s="4">
        <f>INT(D170)</f>
        <v/>
      </c>
      <c r="J170">
        <f>IFERROR(VLOOKUP(C170,Merchants!$A$2:$D$41,2,FALSE),"Merchant not found")</f>
        <v/>
      </c>
      <c r="K170">
        <f>IFERROR(VLOOKUP(C170,Merchants!$A$2:$D$41,3,FALSE),"Merchant not found")</f>
        <v/>
      </c>
      <c r="L170">
        <f>IFERROR(VLOOKUP(C170,Merchants!$A$2:$D$41,4,FALSE),"Merchant not found")</f>
        <v/>
      </c>
      <c r="M170" s="5">
        <f>HLOOKUP(F170,Fee_Reference!$B$1:$E$2,2,FALSE)</f>
        <v/>
      </c>
      <c r="N170">
        <f>SUMIFS($E$2:$E$548,$C$2:$C$548,C170,$I$2:$I$548,I170)</f>
        <v/>
      </c>
      <c r="O170">
        <f>IF(J170="Merchant not found","Merchant not found",IF(AND(N170&gt;5000,L170&lt;&gt;"East"),"High-Value Merchant Day","Normal Merchant Day"))</f>
        <v/>
      </c>
    </row>
    <row r="171">
      <c r="A171" t="inlineStr">
        <is>
          <t>TXN100169</t>
        </is>
      </c>
      <c r="B171" t="n">
        <v>60</v>
      </c>
      <c r="C171" t="n">
        <v>7</v>
      </c>
      <c r="D171" s="3" t="n">
        <v>46024.39652777778</v>
      </c>
      <c r="E171" t="n">
        <v>2999</v>
      </c>
      <c r="F171" t="inlineStr">
        <is>
          <t>Wallet</t>
        </is>
      </c>
      <c r="G171" t="inlineStr">
        <is>
          <t>captured</t>
        </is>
      </c>
      <c r="H171" t="n">
        <v>30</v>
      </c>
      <c r="I171" s="4">
        <f>INT(D171)</f>
        <v/>
      </c>
      <c r="J171">
        <f>IFERROR(VLOOKUP(C171,Merchants!$A$2:$D$41,2,FALSE),"Merchant not found")</f>
        <v/>
      </c>
      <c r="K171">
        <f>IFERROR(VLOOKUP(C171,Merchants!$A$2:$D$41,3,FALSE),"Merchant not found")</f>
        <v/>
      </c>
      <c r="L171">
        <f>IFERROR(VLOOKUP(C171,Merchants!$A$2:$D$41,4,FALSE),"Merchant not found")</f>
        <v/>
      </c>
      <c r="M171" s="5">
        <f>HLOOKUP(F171,Fee_Reference!$B$1:$E$2,2,FALSE)</f>
        <v/>
      </c>
      <c r="N171">
        <f>SUMIFS($E$2:$E$548,$C$2:$C$548,C171,$I$2:$I$548,I171)</f>
        <v/>
      </c>
      <c r="O171">
        <f>IF(J171="Merchant not found","Merchant not found",IF(AND(N171&gt;5000,L171&lt;&gt;"East"),"High-Value Merchant Day","Normal Merchant Day"))</f>
        <v/>
      </c>
    </row>
    <row r="172">
      <c r="A172" t="inlineStr">
        <is>
          <t>TXN100170</t>
        </is>
      </c>
      <c r="B172" t="n">
        <v>199</v>
      </c>
      <c r="C172" t="n">
        <v>30</v>
      </c>
      <c r="D172" s="3" t="n">
        <v>46051.71388888889</v>
      </c>
      <c r="E172" t="n">
        <v>149</v>
      </c>
      <c r="F172" t="inlineStr">
        <is>
          <t>Netbanking</t>
        </is>
      </c>
      <c r="G172" t="inlineStr">
        <is>
          <t>captured</t>
        </is>
      </c>
      <c r="H172" t="n">
        <v>47</v>
      </c>
      <c r="I172" s="4">
        <f>INT(D172)</f>
        <v/>
      </c>
      <c r="J172">
        <f>IFERROR(VLOOKUP(C172,Merchants!$A$2:$D$41,2,FALSE),"Merchant not found")</f>
        <v/>
      </c>
      <c r="K172">
        <f>IFERROR(VLOOKUP(C172,Merchants!$A$2:$D$41,3,FALSE),"Merchant not found")</f>
        <v/>
      </c>
      <c r="L172">
        <f>IFERROR(VLOOKUP(C172,Merchants!$A$2:$D$41,4,FALSE),"Merchant not found")</f>
        <v/>
      </c>
      <c r="M172" s="5">
        <f>HLOOKUP(F172,Fee_Reference!$B$1:$E$2,2,FALSE)</f>
        <v/>
      </c>
      <c r="N172">
        <f>SUMIFS($E$2:$E$548,$C$2:$C$548,C172,$I$2:$I$548,I172)</f>
        <v/>
      </c>
      <c r="O172">
        <f>IF(J172="Merchant not found","Merchant not found",IF(AND(N172&gt;5000,L172&lt;&gt;"East"),"High-Value Merchant Day","Normal Merchant Day"))</f>
        <v/>
      </c>
    </row>
    <row r="173">
      <c r="A173" t="inlineStr">
        <is>
          <t>TXN100171</t>
        </is>
      </c>
      <c r="B173" t="n">
        <v>277</v>
      </c>
      <c r="C173" t="n">
        <v>27</v>
      </c>
      <c r="D173" s="3" t="n">
        <v>46044.98888888889</v>
      </c>
      <c r="E173" t="n">
        <v>49</v>
      </c>
      <c r="F173" t="inlineStr">
        <is>
          <t>UPI</t>
        </is>
      </c>
      <c r="G173" t="inlineStr">
        <is>
          <t>captured</t>
        </is>
      </c>
      <c r="H173" t="n">
        <v>75</v>
      </c>
      <c r="I173" s="4">
        <f>INT(D173)</f>
        <v/>
      </c>
      <c r="J173">
        <f>IFERROR(VLOOKUP(C173,Merchants!$A$2:$D$41,2,FALSE),"Merchant not found")</f>
        <v/>
      </c>
      <c r="K173">
        <f>IFERROR(VLOOKUP(C173,Merchants!$A$2:$D$41,3,FALSE),"Merchant not found")</f>
        <v/>
      </c>
      <c r="L173">
        <f>IFERROR(VLOOKUP(C173,Merchants!$A$2:$D$41,4,FALSE),"Merchant not found")</f>
        <v/>
      </c>
      <c r="M173" s="5">
        <f>HLOOKUP(F173,Fee_Reference!$B$1:$E$2,2,FALSE)</f>
        <v/>
      </c>
      <c r="N173">
        <f>SUMIFS($E$2:$E$548,$C$2:$C$548,C173,$I$2:$I$548,I173)</f>
        <v/>
      </c>
      <c r="O173">
        <f>IF(J173="Merchant not found","Merchant not found",IF(AND(N173&gt;5000,L173&lt;&gt;"East"),"High-Value Merchant Day","Normal Merchant Day"))</f>
        <v/>
      </c>
    </row>
    <row r="174">
      <c r="A174" t="inlineStr">
        <is>
          <t>TXN100172</t>
        </is>
      </c>
      <c r="B174" t="n">
        <v>213</v>
      </c>
      <c r="C174" t="n">
        <v>7</v>
      </c>
      <c r="D174" s="3" t="n">
        <v>46046.96458333333</v>
      </c>
      <c r="E174" t="n">
        <v>799</v>
      </c>
      <c r="F174" t="inlineStr">
        <is>
          <t>Netbanking</t>
        </is>
      </c>
      <c r="G174" t="inlineStr">
        <is>
          <t>captured</t>
        </is>
      </c>
      <c r="H174" t="n">
        <v>62</v>
      </c>
      <c r="I174" s="4">
        <f>INT(D174)</f>
        <v/>
      </c>
      <c r="J174">
        <f>IFERROR(VLOOKUP(C174,Merchants!$A$2:$D$41,2,FALSE),"Merchant not found")</f>
        <v/>
      </c>
      <c r="K174">
        <f>IFERROR(VLOOKUP(C174,Merchants!$A$2:$D$41,3,FALSE),"Merchant not found")</f>
        <v/>
      </c>
      <c r="L174">
        <f>IFERROR(VLOOKUP(C174,Merchants!$A$2:$D$41,4,FALSE),"Merchant not found")</f>
        <v/>
      </c>
      <c r="M174" s="5">
        <f>HLOOKUP(F174,Fee_Reference!$B$1:$E$2,2,FALSE)</f>
        <v/>
      </c>
      <c r="N174">
        <f>SUMIFS($E$2:$E$548,$C$2:$C$548,C174,$I$2:$I$548,I174)</f>
        <v/>
      </c>
      <c r="O174">
        <f>IF(J174="Merchant not found","Merchant not found",IF(AND(N174&gt;5000,L174&lt;&gt;"East"),"High-Value Merchant Day","Normal Merchant Day"))</f>
        <v/>
      </c>
    </row>
    <row r="175">
      <c r="A175" t="inlineStr">
        <is>
          <t>TXN100173</t>
        </is>
      </c>
      <c r="B175" t="n">
        <v>17</v>
      </c>
      <c r="C175" t="n">
        <v>24</v>
      </c>
      <c r="D175" s="3" t="n">
        <v>46042.55347222222</v>
      </c>
      <c r="E175" t="n">
        <v>299</v>
      </c>
      <c r="F175" t="inlineStr">
        <is>
          <t>UPI</t>
        </is>
      </c>
      <c r="G175" t="inlineStr">
        <is>
          <t>captured</t>
        </is>
      </c>
      <c r="H175" t="n">
        <v>27</v>
      </c>
      <c r="I175" s="4">
        <f>INT(D175)</f>
        <v/>
      </c>
      <c r="J175">
        <f>IFERROR(VLOOKUP(C175,Merchants!$A$2:$D$41,2,FALSE),"Merchant not found")</f>
        <v/>
      </c>
      <c r="K175">
        <f>IFERROR(VLOOKUP(C175,Merchants!$A$2:$D$41,3,FALSE),"Merchant not found")</f>
        <v/>
      </c>
      <c r="L175">
        <f>IFERROR(VLOOKUP(C175,Merchants!$A$2:$D$41,4,FALSE),"Merchant not found")</f>
        <v/>
      </c>
      <c r="M175" s="5">
        <f>HLOOKUP(F175,Fee_Reference!$B$1:$E$2,2,FALSE)</f>
        <v/>
      </c>
      <c r="N175">
        <f>SUMIFS($E$2:$E$548,$C$2:$C$548,C175,$I$2:$I$548,I175)</f>
        <v/>
      </c>
      <c r="O175">
        <f>IF(J175="Merchant not found","Merchant not found",IF(AND(N175&gt;5000,L175&lt;&gt;"East"),"High-Value Merchant Day","Normal Merchant Day"))</f>
        <v/>
      </c>
    </row>
    <row r="176">
      <c r="A176" t="inlineStr">
        <is>
          <t>TXN100174</t>
        </is>
      </c>
      <c r="B176" t="n">
        <v>186</v>
      </c>
      <c r="C176" t="n">
        <v>7</v>
      </c>
      <c r="D176" s="3" t="n">
        <v>46037.59375</v>
      </c>
      <c r="E176" t="n">
        <v>1499</v>
      </c>
      <c r="F176" t="inlineStr">
        <is>
          <t>Card</t>
        </is>
      </c>
      <c r="G176" t="inlineStr">
        <is>
          <t>failed</t>
        </is>
      </c>
      <c r="H176" t="n">
        <v>87</v>
      </c>
      <c r="I176" s="4">
        <f>INT(D176)</f>
        <v/>
      </c>
      <c r="J176">
        <f>IFERROR(VLOOKUP(C176,Merchants!$A$2:$D$41,2,FALSE),"Merchant not found")</f>
        <v/>
      </c>
      <c r="K176">
        <f>IFERROR(VLOOKUP(C176,Merchants!$A$2:$D$41,3,FALSE),"Merchant not found")</f>
        <v/>
      </c>
      <c r="L176">
        <f>IFERROR(VLOOKUP(C176,Merchants!$A$2:$D$41,4,FALSE),"Merchant not found")</f>
        <v/>
      </c>
      <c r="M176" s="5">
        <f>HLOOKUP(F176,Fee_Reference!$B$1:$E$2,2,FALSE)</f>
        <v/>
      </c>
      <c r="N176">
        <f>SUMIFS($E$2:$E$548,$C$2:$C$548,C176,$I$2:$I$548,I176)</f>
        <v/>
      </c>
      <c r="O176">
        <f>IF(J176="Merchant not found","Merchant not found",IF(AND(N176&gt;5000,L176&lt;&gt;"East"),"High-Value Merchant Day","Normal Merchant Day"))</f>
        <v/>
      </c>
    </row>
    <row r="177">
      <c r="A177" t="inlineStr">
        <is>
          <t>TXN100175</t>
        </is>
      </c>
      <c r="B177" t="n">
        <v>331</v>
      </c>
      <c r="C177" t="n">
        <v>23</v>
      </c>
      <c r="D177" s="3" t="n">
        <v>46034.74791666667</v>
      </c>
      <c r="E177" t="n">
        <v>149</v>
      </c>
      <c r="F177" t="inlineStr">
        <is>
          <t>UPI</t>
        </is>
      </c>
      <c r="G177" t="inlineStr">
        <is>
          <t>captured</t>
        </is>
      </c>
      <c r="H177" t="n">
        <v>7</v>
      </c>
      <c r="I177" s="4">
        <f>INT(D177)</f>
        <v/>
      </c>
      <c r="J177">
        <f>IFERROR(VLOOKUP(C177,Merchants!$A$2:$D$41,2,FALSE),"Merchant not found")</f>
        <v/>
      </c>
      <c r="K177">
        <f>IFERROR(VLOOKUP(C177,Merchants!$A$2:$D$41,3,FALSE),"Merchant not found")</f>
        <v/>
      </c>
      <c r="L177">
        <f>IFERROR(VLOOKUP(C177,Merchants!$A$2:$D$41,4,FALSE),"Merchant not found")</f>
        <v/>
      </c>
      <c r="M177" s="5">
        <f>HLOOKUP(F177,Fee_Reference!$B$1:$E$2,2,FALSE)</f>
        <v/>
      </c>
      <c r="N177">
        <f>SUMIFS($E$2:$E$548,$C$2:$C$548,C177,$I$2:$I$548,I177)</f>
        <v/>
      </c>
      <c r="O177">
        <f>IF(J177="Merchant not found","Merchant not found",IF(AND(N177&gt;5000,L177&lt;&gt;"East"),"High-Value Merchant Day","Normal Merchant Day"))</f>
        <v/>
      </c>
    </row>
    <row r="178">
      <c r="A178" t="inlineStr">
        <is>
          <t>TXN100176</t>
        </is>
      </c>
      <c r="B178" t="n">
        <v>63</v>
      </c>
      <c r="C178" t="n">
        <v>30</v>
      </c>
      <c r="D178" s="3" t="n">
        <v>46035.34166666667</v>
      </c>
      <c r="E178" t="n">
        <v>1499</v>
      </c>
      <c r="F178" t="inlineStr">
        <is>
          <t>Card</t>
        </is>
      </c>
      <c r="G178" t="inlineStr">
        <is>
          <t>captured</t>
        </is>
      </c>
      <c r="H178" t="n">
        <v>11</v>
      </c>
      <c r="I178" s="4">
        <f>INT(D178)</f>
        <v/>
      </c>
      <c r="J178">
        <f>IFERROR(VLOOKUP(C178,Merchants!$A$2:$D$41,2,FALSE),"Merchant not found")</f>
        <v/>
      </c>
      <c r="K178">
        <f>IFERROR(VLOOKUP(C178,Merchants!$A$2:$D$41,3,FALSE),"Merchant not found")</f>
        <v/>
      </c>
      <c r="L178">
        <f>IFERROR(VLOOKUP(C178,Merchants!$A$2:$D$41,4,FALSE),"Merchant not found")</f>
        <v/>
      </c>
      <c r="M178" s="5">
        <f>HLOOKUP(F178,Fee_Reference!$B$1:$E$2,2,FALSE)</f>
        <v/>
      </c>
      <c r="N178">
        <f>SUMIFS($E$2:$E$548,$C$2:$C$548,C178,$I$2:$I$548,I178)</f>
        <v/>
      </c>
      <c r="O178">
        <f>IF(J178="Merchant not found","Merchant not found",IF(AND(N178&gt;5000,L178&lt;&gt;"East"),"High-Value Merchant Day","Normal Merchant Day"))</f>
        <v/>
      </c>
    </row>
    <row r="179">
      <c r="A179" t="inlineStr">
        <is>
          <t>TXN100177</t>
        </is>
      </c>
      <c r="B179" t="n">
        <v>328</v>
      </c>
      <c r="C179" t="n">
        <v>39</v>
      </c>
      <c r="D179" s="3" t="n">
        <v>46044.27847222222</v>
      </c>
      <c r="E179" t="n">
        <v>4999</v>
      </c>
      <c r="F179" t="inlineStr">
        <is>
          <t>Wallet</t>
        </is>
      </c>
      <c r="G179" t="inlineStr">
        <is>
          <t>chargeback</t>
        </is>
      </c>
      <c r="H179" t="n">
        <v>2</v>
      </c>
      <c r="I179" s="4">
        <f>INT(D179)</f>
        <v/>
      </c>
      <c r="J179">
        <f>IFERROR(VLOOKUP(C179,Merchants!$A$2:$D$41,2,FALSE),"Merchant not found")</f>
        <v/>
      </c>
      <c r="K179">
        <f>IFERROR(VLOOKUP(C179,Merchants!$A$2:$D$41,3,FALSE),"Merchant not found")</f>
        <v/>
      </c>
      <c r="L179">
        <f>IFERROR(VLOOKUP(C179,Merchants!$A$2:$D$41,4,FALSE),"Merchant not found")</f>
        <v/>
      </c>
      <c r="M179" s="5">
        <f>HLOOKUP(F179,Fee_Reference!$B$1:$E$2,2,FALSE)</f>
        <v/>
      </c>
      <c r="N179">
        <f>SUMIFS($E$2:$E$548,$C$2:$C$548,C179,$I$2:$I$548,I179)</f>
        <v/>
      </c>
      <c r="O179">
        <f>IF(J179="Merchant not found","Merchant not found",IF(AND(N179&gt;5000,L179&lt;&gt;"East"),"High-Value Merchant Day","Normal Merchant Day"))</f>
        <v/>
      </c>
    </row>
    <row r="180">
      <c r="A180" t="inlineStr">
        <is>
          <t>TXN100178</t>
        </is>
      </c>
      <c r="B180" t="n">
        <v>65</v>
      </c>
      <c r="C180" t="n">
        <v>37</v>
      </c>
      <c r="D180" s="3" t="n">
        <v>46024.42708333334</v>
      </c>
      <c r="E180" t="n">
        <v>2999</v>
      </c>
      <c r="F180" t="inlineStr">
        <is>
          <t>Card</t>
        </is>
      </c>
      <c r="G180" t="inlineStr">
        <is>
          <t>captured</t>
        </is>
      </c>
      <c r="H180" t="n">
        <v>26</v>
      </c>
      <c r="I180" s="4">
        <f>INT(D180)</f>
        <v/>
      </c>
      <c r="J180">
        <f>IFERROR(VLOOKUP(C180,Merchants!$A$2:$D$41,2,FALSE),"Merchant not found")</f>
        <v/>
      </c>
      <c r="K180">
        <f>IFERROR(VLOOKUP(C180,Merchants!$A$2:$D$41,3,FALSE),"Merchant not found")</f>
        <v/>
      </c>
      <c r="L180">
        <f>IFERROR(VLOOKUP(C180,Merchants!$A$2:$D$41,4,FALSE),"Merchant not found")</f>
        <v/>
      </c>
      <c r="M180" s="5">
        <f>HLOOKUP(F180,Fee_Reference!$B$1:$E$2,2,FALSE)</f>
        <v/>
      </c>
      <c r="N180">
        <f>SUMIFS($E$2:$E$548,$C$2:$C$548,C180,$I$2:$I$548,I180)</f>
        <v/>
      </c>
      <c r="O180">
        <f>IF(J180="Merchant not found","Merchant not found",IF(AND(N180&gt;5000,L180&lt;&gt;"East"),"High-Value Merchant Day","Normal Merchant Day"))</f>
        <v/>
      </c>
    </row>
    <row r="181">
      <c r="A181" t="inlineStr">
        <is>
          <t>TXN100179</t>
        </is>
      </c>
      <c r="B181" t="n">
        <v>301</v>
      </c>
      <c r="C181" t="n">
        <v>14</v>
      </c>
      <c r="D181" s="3" t="n">
        <v>46025.71736111111</v>
      </c>
      <c r="E181" t="n">
        <v>149</v>
      </c>
      <c r="F181" t="inlineStr">
        <is>
          <t>UPI</t>
        </is>
      </c>
      <c r="G181" t="inlineStr">
        <is>
          <t>captured</t>
        </is>
      </c>
      <c r="H181" t="n">
        <v>29</v>
      </c>
      <c r="I181" s="4">
        <f>INT(D181)</f>
        <v/>
      </c>
      <c r="J181">
        <f>IFERROR(VLOOKUP(C181,Merchants!$A$2:$D$41,2,FALSE),"Merchant not found")</f>
        <v/>
      </c>
      <c r="K181">
        <f>IFERROR(VLOOKUP(C181,Merchants!$A$2:$D$41,3,FALSE),"Merchant not found")</f>
        <v/>
      </c>
      <c r="L181">
        <f>IFERROR(VLOOKUP(C181,Merchants!$A$2:$D$41,4,FALSE),"Merchant not found")</f>
        <v/>
      </c>
      <c r="M181" s="5">
        <f>HLOOKUP(F181,Fee_Reference!$B$1:$E$2,2,FALSE)</f>
        <v/>
      </c>
      <c r="N181">
        <f>SUMIFS($E$2:$E$548,$C$2:$C$548,C181,$I$2:$I$548,I181)</f>
        <v/>
      </c>
      <c r="O181">
        <f>IF(J181="Merchant not found","Merchant not found",IF(AND(N181&gt;5000,L181&lt;&gt;"East"),"High-Value Merchant Day","Normal Merchant Day"))</f>
        <v/>
      </c>
    </row>
    <row r="182">
      <c r="A182" t="inlineStr">
        <is>
          <t>TXN100180</t>
        </is>
      </c>
      <c r="B182" t="n">
        <v>306</v>
      </c>
      <c r="C182" t="n">
        <v>1</v>
      </c>
      <c r="D182" s="3" t="n">
        <v>46033.20138888889</v>
      </c>
      <c r="E182" t="n">
        <v>299</v>
      </c>
      <c r="F182" t="inlineStr">
        <is>
          <t>UPI</t>
        </is>
      </c>
      <c r="G182" t="inlineStr">
        <is>
          <t>failed</t>
        </is>
      </c>
      <c r="H182" t="n">
        <v>35</v>
      </c>
      <c r="I182" s="4">
        <f>INT(D182)</f>
        <v/>
      </c>
      <c r="J182">
        <f>IFERROR(VLOOKUP(C182,Merchants!$A$2:$D$41,2,FALSE),"Merchant not found")</f>
        <v/>
      </c>
      <c r="K182">
        <f>IFERROR(VLOOKUP(C182,Merchants!$A$2:$D$41,3,FALSE),"Merchant not found")</f>
        <v/>
      </c>
      <c r="L182">
        <f>IFERROR(VLOOKUP(C182,Merchants!$A$2:$D$41,4,FALSE),"Merchant not found")</f>
        <v/>
      </c>
      <c r="M182" s="5">
        <f>HLOOKUP(F182,Fee_Reference!$B$1:$E$2,2,FALSE)</f>
        <v/>
      </c>
      <c r="N182">
        <f>SUMIFS($E$2:$E$548,$C$2:$C$548,C182,$I$2:$I$548,I182)</f>
        <v/>
      </c>
      <c r="O182">
        <f>IF(J182="Merchant not found","Merchant not found",IF(AND(N182&gt;5000,L182&lt;&gt;"East"),"High-Value Merchant Day","Normal Merchant Day"))</f>
        <v/>
      </c>
    </row>
    <row r="183">
      <c r="A183" t="inlineStr">
        <is>
          <t>TXN100181</t>
        </is>
      </c>
      <c r="B183" t="n">
        <v>277</v>
      </c>
      <c r="C183" t="n">
        <v>17</v>
      </c>
      <c r="D183" s="3" t="n">
        <v>46050.17222222222</v>
      </c>
      <c r="E183" t="n">
        <v>299</v>
      </c>
      <c r="F183" t="inlineStr">
        <is>
          <t>UPI</t>
        </is>
      </c>
      <c r="G183" t="inlineStr">
        <is>
          <t>captured</t>
        </is>
      </c>
      <c r="H183" t="n">
        <v>22</v>
      </c>
      <c r="I183" s="4">
        <f>INT(D183)</f>
        <v/>
      </c>
      <c r="J183">
        <f>IFERROR(VLOOKUP(C183,Merchants!$A$2:$D$41,2,FALSE),"Merchant not found")</f>
        <v/>
      </c>
      <c r="K183">
        <f>IFERROR(VLOOKUP(C183,Merchants!$A$2:$D$41,3,FALSE),"Merchant not found")</f>
        <v/>
      </c>
      <c r="L183">
        <f>IFERROR(VLOOKUP(C183,Merchants!$A$2:$D$41,4,FALSE),"Merchant not found")</f>
        <v/>
      </c>
      <c r="M183" s="5">
        <f>HLOOKUP(F183,Fee_Reference!$B$1:$E$2,2,FALSE)</f>
        <v/>
      </c>
      <c r="N183">
        <f>SUMIFS($E$2:$E$548,$C$2:$C$548,C183,$I$2:$I$548,I183)</f>
        <v/>
      </c>
      <c r="O183">
        <f>IF(J183="Merchant not found","Merchant not found",IF(AND(N183&gt;5000,L183&lt;&gt;"East"),"High-Value Merchant Day","Normal Merchant Day"))</f>
        <v/>
      </c>
    </row>
    <row r="184">
      <c r="A184" t="inlineStr">
        <is>
          <t>TXN100182</t>
        </is>
      </c>
      <c r="B184" t="n">
        <v>14</v>
      </c>
      <c r="C184" t="n">
        <v>9</v>
      </c>
      <c r="D184" s="3" t="n">
        <v>46026.91319444445</v>
      </c>
      <c r="E184" t="n">
        <v>499</v>
      </c>
      <c r="F184" t="inlineStr">
        <is>
          <t>UPI</t>
        </is>
      </c>
      <c r="G184" t="inlineStr">
        <is>
          <t>captured</t>
        </is>
      </c>
      <c r="H184" t="n">
        <v>1</v>
      </c>
      <c r="I184" s="4">
        <f>INT(D184)</f>
        <v/>
      </c>
      <c r="J184">
        <f>IFERROR(VLOOKUP(C184,Merchants!$A$2:$D$41,2,FALSE),"Merchant not found")</f>
        <v/>
      </c>
      <c r="K184">
        <f>IFERROR(VLOOKUP(C184,Merchants!$A$2:$D$41,3,FALSE),"Merchant not found")</f>
        <v/>
      </c>
      <c r="L184">
        <f>IFERROR(VLOOKUP(C184,Merchants!$A$2:$D$41,4,FALSE),"Merchant not found")</f>
        <v/>
      </c>
      <c r="M184" s="5">
        <f>HLOOKUP(F184,Fee_Reference!$B$1:$E$2,2,FALSE)</f>
        <v/>
      </c>
      <c r="N184">
        <f>SUMIFS($E$2:$E$548,$C$2:$C$548,C184,$I$2:$I$548,I184)</f>
        <v/>
      </c>
      <c r="O184">
        <f>IF(J184="Merchant not found","Merchant not found",IF(AND(N184&gt;5000,L184&lt;&gt;"East"),"High-Value Merchant Day","Normal Merchant Day"))</f>
        <v/>
      </c>
    </row>
    <row r="185">
      <c r="A185" t="inlineStr">
        <is>
          <t>TXN100183</t>
        </is>
      </c>
      <c r="B185" t="n">
        <v>166</v>
      </c>
      <c r="C185" t="n">
        <v>2</v>
      </c>
      <c r="D185" s="3" t="n">
        <v>46034.31736111111</v>
      </c>
      <c r="E185" t="n">
        <v>299</v>
      </c>
      <c r="F185" t="inlineStr">
        <is>
          <t>Card</t>
        </is>
      </c>
      <c r="G185" t="inlineStr">
        <is>
          <t>captured</t>
        </is>
      </c>
      <c r="H185" t="n">
        <v>22</v>
      </c>
      <c r="I185" s="4">
        <f>INT(D185)</f>
        <v/>
      </c>
      <c r="J185">
        <f>IFERROR(VLOOKUP(C185,Merchants!$A$2:$D$41,2,FALSE),"Merchant not found")</f>
        <v/>
      </c>
      <c r="K185">
        <f>IFERROR(VLOOKUP(C185,Merchants!$A$2:$D$41,3,FALSE),"Merchant not found")</f>
        <v/>
      </c>
      <c r="L185">
        <f>IFERROR(VLOOKUP(C185,Merchants!$A$2:$D$41,4,FALSE),"Merchant not found")</f>
        <v/>
      </c>
      <c r="M185" s="5">
        <f>HLOOKUP(F185,Fee_Reference!$B$1:$E$2,2,FALSE)</f>
        <v/>
      </c>
      <c r="N185">
        <f>SUMIFS($E$2:$E$548,$C$2:$C$548,C185,$I$2:$I$548,I185)</f>
        <v/>
      </c>
      <c r="O185">
        <f>IF(J185="Merchant not found","Merchant not found",IF(AND(N185&gt;5000,L185&lt;&gt;"East"),"High-Value Merchant Day","Normal Merchant Day"))</f>
        <v/>
      </c>
    </row>
    <row r="186">
      <c r="A186" t="inlineStr">
        <is>
          <t>TXN100184</t>
        </is>
      </c>
      <c r="B186" t="n">
        <v>216</v>
      </c>
      <c r="C186" t="n">
        <v>34</v>
      </c>
      <c r="D186" s="3" t="n">
        <v>46031.04722222222</v>
      </c>
      <c r="E186" t="n">
        <v>299</v>
      </c>
      <c r="F186" t="inlineStr">
        <is>
          <t>Card</t>
        </is>
      </c>
      <c r="G186" t="inlineStr">
        <is>
          <t>captured</t>
        </is>
      </c>
      <c r="H186" t="n">
        <v>14</v>
      </c>
      <c r="I186" s="4">
        <f>INT(D186)</f>
        <v/>
      </c>
      <c r="J186">
        <f>IFERROR(VLOOKUP(C186,Merchants!$A$2:$D$41,2,FALSE),"Merchant not found")</f>
        <v/>
      </c>
      <c r="K186">
        <f>IFERROR(VLOOKUP(C186,Merchants!$A$2:$D$41,3,FALSE),"Merchant not found")</f>
        <v/>
      </c>
      <c r="L186">
        <f>IFERROR(VLOOKUP(C186,Merchants!$A$2:$D$41,4,FALSE),"Merchant not found")</f>
        <v/>
      </c>
      <c r="M186" s="5">
        <f>HLOOKUP(F186,Fee_Reference!$B$1:$E$2,2,FALSE)</f>
        <v/>
      </c>
      <c r="N186">
        <f>SUMIFS($E$2:$E$548,$C$2:$C$548,C186,$I$2:$I$548,I186)</f>
        <v/>
      </c>
      <c r="O186">
        <f>IF(J186="Merchant not found","Merchant not found",IF(AND(N186&gt;5000,L186&lt;&gt;"East"),"High-Value Merchant Day","Normal Merchant Day"))</f>
        <v/>
      </c>
    </row>
    <row r="187">
      <c r="A187" t="inlineStr">
        <is>
          <t>TXN100185</t>
        </is>
      </c>
      <c r="B187" t="n">
        <v>230</v>
      </c>
      <c r="C187" t="n">
        <v>24</v>
      </c>
      <c r="D187" s="3" t="n">
        <v>46046.10416666666</v>
      </c>
      <c r="E187" t="n">
        <v>49</v>
      </c>
      <c r="F187" t="inlineStr">
        <is>
          <t>UPI</t>
        </is>
      </c>
      <c r="G187" t="inlineStr">
        <is>
          <t>captured</t>
        </is>
      </c>
      <c r="H187" t="n">
        <v>65</v>
      </c>
      <c r="I187" s="4">
        <f>INT(D187)</f>
        <v/>
      </c>
      <c r="J187">
        <f>IFERROR(VLOOKUP(C187,Merchants!$A$2:$D$41,2,FALSE),"Merchant not found")</f>
        <v/>
      </c>
      <c r="K187">
        <f>IFERROR(VLOOKUP(C187,Merchants!$A$2:$D$41,3,FALSE),"Merchant not found")</f>
        <v/>
      </c>
      <c r="L187">
        <f>IFERROR(VLOOKUP(C187,Merchants!$A$2:$D$41,4,FALSE),"Merchant not found")</f>
        <v/>
      </c>
      <c r="M187" s="5">
        <f>HLOOKUP(F187,Fee_Reference!$B$1:$E$2,2,FALSE)</f>
        <v/>
      </c>
      <c r="N187">
        <f>SUMIFS($E$2:$E$548,$C$2:$C$548,C187,$I$2:$I$548,I187)</f>
        <v/>
      </c>
      <c r="O187">
        <f>IF(J187="Merchant not found","Merchant not found",IF(AND(N187&gt;5000,L187&lt;&gt;"East"),"High-Value Merchant Day","Normal Merchant Day"))</f>
        <v/>
      </c>
    </row>
    <row r="188">
      <c r="A188" t="inlineStr">
        <is>
          <t>TXN100186</t>
        </is>
      </c>
      <c r="B188" t="n">
        <v>258</v>
      </c>
      <c r="C188" t="n">
        <v>15</v>
      </c>
      <c r="D188" s="3" t="n">
        <v>46041.14444444444</v>
      </c>
      <c r="E188" t="n">
        <v>499</v>
      </c>
      <c r="F188" t="inlineStr">
        <is>
          <t>Wallet</t>
        </is>
      </c>
      <c r="G188" t="inlineStr">
        <is>
          <t>captured</t>
        </is>
      </c>
      <c r="H188" t="n">
        <v>78</v>
      </c>
      <c r="I188" s="4">
        <f>INT(D188)</f>
        <v/>
      </c>
      <c r="J188">
        <f>IFERROR(VLOOKUP(C188,Merchants!$A$2:$D$41,2,FALSE),"Merchant not found")</f>
        <v/>
      </c>
      <c r="K188">
        <f>IFERROR(VLOOKUP(C188,Merchants!$A$2:$D$41,3,FALSE),"Merchant not found")</f>
        <v/>
      </c>
      <c r="L188">
        <f>IFERROR(VLOOKUP(C188,Merchants!$A$2:$D$41,4,FALSE),"Merchant not found")</f>
        <v/>
      </c>
      <c r="M188" s="5">
        <f>HLOOKUP(F188,Fee_Reference!$B$1:$E$2,2,FALSE)</f>
        <v/>
      </c>
      <c r="N188">
        <f>SUMIFS($E$2:$E$548,$C$2:$C$548,C188,$I$2:$I$548,I188)</f>
        <v/>
      </c>
      <c r="O188">
        <f>IF(J188="Merchant not found","Merchant not found",IF(AND(N188&gt;5000,L188&lt;&gt;"East"),"High-Value Merchant Day","Normal Merchant Day"))</f>
        <v/>
      </c>
    </row>
    <row r="189">
      <c r="A189" t="inlineStr">
        <is>
          <t>TXN100187</t>
        </is>
      </c>
      <c r="B189" t="n">
        <v>338</v>
      </c>
      <c r="C189" t="n">
        <v>34</v>
      </c>
      <c r="D189" s="3" t="n">
        <v>46024.99305555555</v>
      </c>
      <c r="E189" t="n">
        <v>49</v>
      </c>
      <c r="F189" t="inlineStr">
        <is>
          <t>UPI</t>
        </is>
      </c>
      <c r="G189" t="inlineStr">
        <is>
          <t>captured</t>
        </is>
      </c>
      <c r="H189" t="n">
        <v>38</v>
      </c>
      <c r="I189" s="4">
        <f>INT(D189)</f>
        <v/>
      </c>
      <c r="J189">
        <f>IFERROR(VLOOKUP(C189,Merchants!$A$2:$D$41,2,FALSE),"Merchant not found")</f>
        <v/>
      </c>
      <c r="K189">
        <f>IFERROR(VLOOKUP(C189,Merchants!$A$2:$D$41,3,FALSE),"Merchant not found")</f>
        <v/>
      </c>
      <c r="L189">
        <f>IFERROR(VLOOKUP(C189,Merchants!$A$2:$D$41,4,FALSE),"Merchant not found")</f>
        <v/>
      </c>
      <c r="M189" s="5">
        <f>HLOOKUP(F189,Fee_Reference!$B$1:$E$2,2,FALSE)</f>
        <v/>
      </c>
      <c r="N189">
        <f>SUMIFS($E$2:$E$548,$C$2:$C$548,C189,$I$2:$I$548,I189)</f>
        <v/>
      </c>
      <c r="O189">
        <f>IF(J189="Merchant not found","Merchant not found",IF(AND(N189&gt;5000,L189&lt;&gt;"East"),"High-Value Merchant Day","Normal Merchant Day"))</f>
        <v/>
      </c>
    </row>
    <row r="190">
      <c r="A190" t="inlineStr">
        <is>
          <t>TXN100188</t>
        </is>
      </c>
      <c r="B190" t="n">
        <v>32</v>
      </c>
      <c r="C190" t="n">
        <v>31</v>
      </c>
      <c r="D190" s="3" t="n">
        <v>46037.83402777778</v>
      </c>
      <c r="E190" t="n">
        <v>299</v>
      </c>
      <c r="F190" t="inlineStr">
        <is>
          <t>UPI</t>
        </is>
      </c>
      <c r="G190" t="inlineStr">
        <is>
          <t>captured</t>
        </is>
      </c>
      <c r="H190" t="n">
        <v>51</v>
      </c>
      <c r="I190" s="4">
        <f>INT(D190)</f>
        <v/>
      </c>
      <c r="J190">
        <f>IFERROR(VLOOKUP(C190,Merchants!$A$2:$D$41,2,FALSE),"Merchant not found")</f>
        <v/>
      </c>
      <c r="K190">
        <f>IFERROR(VLOOKUP(C190,Merchants!$A$2:$D$41,3,FALSE),"Merchant not found")</f>
        <v/>
      </c>
      <c r="L190">
        <f>IFERROR(VLOOKUP(C190,Merchants!$A$2:$D$41,4,FALSE),"Merchant not found")</f>
        <v/>
      </c>
      <c r="M190" s="5">
        <f>HLOOKUP(F190,Fee_Reference!$B$1:$E$2,2,FALSE)</f>
        <v/>
      </c>
      <c r="N190">
        <f>SUMIFS($E$2:$E$548,$C$2:$C$548,C190,$I$2:$I$548,I190)</f>
        <v/>
      </c>
      <c r="O190">
        <f>IF(J190="Merchant not found","Merchant not found",IF(AND(N190&gt;5000,L190&lt;&gt;"East"),"High-Value Merchant Day","Normal Merchant Day"))</f>
        <v/>
      </c>
    </row>
    <row r="191">
      <c r="A191" t="inlineStr">
        <is>
          <t>TXN100189</t>
        </is>
      </c>
      <c r="B191" t="n">
        <v>252</v>
      </c>
      <c r="C191" t="n">
        <v>29</v>
      </c>
      <c r="D191" s="3" t="n">
        <v>46036.87916666667</v>
      </c>
      <c r="E191" t="n">
        <v>1499</v>
      </c>
      <c r="F191" t="inlineStr">
        <is>
          <t>UPI</t>
        </is>
      </c>
      <c r="G191" t="inlineStr">
        <is>
          <t>captured</t>
        </is>
      </c>
      <c r="H191" t="n">
        <v>9</v>
      </c>
      <c r="I191" s="4">
        <f>INT(D191)</f>
        <v/>
      </c>
      <c r="J191">
        <f>IFERROR(VLOOKUP(C191,Merchants!$A$2:$D$41,2,FALSE),"Merchant not found")</f>
        <v/>
      </c>
      <c r="K191">
        <f>IFERROR(VLOOKUP(C191,Merchants!$A$2:$D$41,3,FALSE),"Merchant not found")</f>
        <v/>
      </c>
      <c r="L191">
        <f>IFERROR(VLOOKUP(C191,Merchants!$A$2:$D$41,4,FALSE),"Merchant not found")</f>
        <v/>
      </c>
      <c r="M191" s="5">
        <f>HLOOKUP(F191,Fee_Reference!$B$1:$E$2,2,FALSE)</f>
        <v/>
      </c>
      <c r="N191">
        <f>SUMIFS($E$2:$E$548,$C$2:$C$548,C191,$I$2:$I$548,I191)</f>
        <v/>
      </c>
      <c r="O191">
        <f>IF(J191="Merchant not found","Merchant not found",IF(AND(N191&gt;5000,L191&lt;&gt;"East"),"High-Value Merchant Day","Normal Merchant Day"))</f>
        <v/>
      </c>
    </row>
    <row r="192">
      <c r="A192" t="inlineStr">
        <is>
          <t>TXN100190</t>
        </is>
      </c>
      <c r="B192" t="n">
        <v>312</v>
      </c>
      <c r="C192" t="n">
        <v>10</v>
      </c>
      <c r="D192" s="3" t="n">
        <v>46051.09722222222</v>
      </c>
      <c r="E192" t="n">
        <v>799</v>
      </c>
      <c r="F192" t="inlineStr">
        <is>
          <t>UPI</t>
        </is>
      </c>
      <c r="G192" t="inlineStr">
        <is>
          <t>captured</t>
        </is>
      </c>
      <c r="H192" t="n">
        <v>8</v>
      </c>
      <c r="I192" s="4">
        <f>INT(D192)</f>
        <v/>
      </c>
      <c r="J192">
        <f>IFERROR(VLOOKUP(C192,Merchants!$A$2:$D$41,2,FALSE),"Merchant not found")</f>
        <v/>
      </c>
      <c r="K192">
        <f>IFERROR(VLOOKUP(C192,Merchants!$A$2:$D$41,3,FALSE),"Merchant not found")</f>
        <v/>
      </c>
      <c r="L192">
        <f>IFERROR(VLOOKUP(C192,Merchants!$A$2:$D$41,4,FALSE),"Merchant not found")</f>
        <v/>
      </c>
      <c r="M192" s="5">
        <f>HLOOKUP(F192,Fee_Reference!$B$1:$E$2,2,FALSE)</f>
        <v/>
      </c>
      <c r="N192">
        <f>SUMIFS($E$2:$E$548,$C$2:$C$548,C192,$I$2:$I$548,I192)</f>
        <v/>
      </c>
      <c r="O192">
        <f>IF(J192="Merchant not found","Merchant not found",IF(AND(N192&gt;5000,L192&lt;&gt;"East"),"High-Value Merchant Day","Normal Merchant Day"))</f>
        <v/>
      </c>
    </row>
    <row r="193">
      <c r="A193" t="inlineStr">
        <is>
          <t>TXN100191</t>
        </is>
      </c>
      <c r="B193" t="n">
        <v>325</v>
      </c>
      <c r="C193" t="n">
        <v>38</v>
      </c>
      <c r="D193" s="3" t="n">
        <v>46027.36041666667</v>
      </c>
      <c r="E193" t="n">
        <v>1499</v>
      </c>
      <c r="F193" t="inlineStr">
        <is>
          <t>Netbanking</t>
        </is>
      </c>
      <c r="G193" t="inlineStr">
        <is>
          <t>captured</t>
        </is>
      </c>
      <c r="H193" t="n">
        <v>70</v>
      </c>
      <c r="I193" s="4">
        <f>INT(D193)</f>
        <v/>
      </c>
      <c r="J193">
        <f>IFERROR(VLOOKUP(C193,Merchants!$A$2:$D$41,2,FALSE),"Merchant not found")</f>
        <v/>
      </c>
      <c r="K193">
        <f>IFERROR(VLOOKUP(C193,Merchants!$A$2:$D$41,3,FALSE),"Merchant not found")</f>
        <v/>
      </c>
      <c r="L193">
        <f>IFERROR(VLOOKUP(C193,Merchants!$A$2:$D$41,4,FALSE),"Merchant not found")</f>
        <v/>
      </c>
      <c r="M193" s="5">
        <f>HLOOKUP(F193,Fee_Reference!$B$1:$E$2,2,FALSE)</f>
        <v/>
      </c>
      <c r="N193">
        <f>SUMIFS($E$2:$E$548,$C$2:$C$548,C193,$I$2:$I$548,I193)</f>
        <v/>
      </c>
      <c r="O193">
        <f>IF(J193="Merchant not found","Merchant not found",IF(AND(N193&gt;5000,L193&lt;&gt;"East"),"High-Value Merchant Day","Normal Merchant Day"))</f>
        <v/>
      </c>
    </row>
    <row r="194">
      <c r="A194" t="inlineStr">
        <is>
          <t>TXN100192</t>
        </is>
      </c>
      <c r="B194" t="n">
        <v>306</v>
      </c>
      <c r="C194" t="n">
        <v>34</v>
      </c>
      <c r="D194" s="3" t="n">
        <v>46045.43333333333</v>
      </c>
      <c r="E194" t="n">
        <v>2999</v>
      </c>
      <c r="F194" t="inlineStr">
        <is>
          <t>UPI</t>
        </is>
      </c>
      <c r="G194" t="inlineStr">
        <is>
          <t>captured</t>
        </is>
      </c>
      <c r="H194" t="n">
        <v>37</v>
      </c>
      <c r="I194" s="4">
        <f>INT(D194)</f>
        <v/>
      </c>
      <c r="J194">
        <f>IFERROR(VLOOKUP(C194,Merchants!$A$2:$D$41,2,FALSE),"Merchant not found")</f>
        <v/>
      </c>
      <c r="K194">
        <f>IFERROR(VLOOKUP(C194,Merchants!$A$2:$D$41,3,FALSE),"Merchant not found")</f>
        <v/>
      </c>
      <c r="L194">
        <f>IFERROR(VLOOKUP(C194,Merchants!$A$2:$D$41,4,FALSE),"Merchant not found")</f>
        <v/>
      </c>
      <c r="M194" s="5">
        <f>HLOOKUP(F194,Fee_Reference!$B$1:$E$2,2,FALSE)</f>
        <v/>
      </c>
      <c r="N194">
        <f>SUMIFS($E$2:$E$548,$C$2:$C$548,C194,$I$2:$I$548,I194)</f>
        <v/>
      </c>
      <c r="O194">
        <f>IF(J194="Merchant not found","Merchant not found",IF(AND(N194&gt;5000,L194&lt;&gt;"East"),"High-Value Merchant Day","Normal Merchant Day"))</f>
        <v/>
      </c>
    </row>
    <row r="195">
      <c r="A195" t="inlineStr">
        <is>
          <t>TXN100193</t>
        </is>
      </c>
      <c r="B195" t="n">
        <v>221</v>
      </c>
      <c r="C195" t="n">
        <v>7</v>
      </c>
      <c r="D195" s="3" t="n">
        <v>46037.69305555556</v>
      </c>
      <c r="E195" t="n">
        <v>149</v>
      </c>
      <c r="F195" t="inlineStr">
        <is>
          <t>Netbanking</t>
        </is>
      </c>
      <c r="G195" t="inlineStr">
        <is>
          <t>captured</t>
        </is>
      </c>
      <c r="H195" t="n">
        <v>89</v>
      </c>
      <c r="I195" s="4">
        <f>INT(D195)</f>
        <v/>
      </c>
      <c r="J195">
        <f>IFERROR(VLOOKUP(C195,Merchants!$A$2:$D$41,2,FALSE),"Merchant not found")</f>
        <v/>
      </c>
      <c r="K195">
        <f>IFERROR(VLOOKUP(C195,Merchants!$A$2:$D$41,3,FALSE),"Merchant not found")</f>
        <v/>
      </c>
      <c r="L195">
        <f>IFERROR(VLOOKUP(C195,Merchants!$A$2:$D$41,4,FALSE),"Merchant not found")</f>
        <v/>
      </c>
      <c r="M195" s="5">
        <f>HLOOKUP(F195,Fee_Reference!$B$1:$E$2,2,FALSE)</f>
        <v/>
      </c>
      <c r="N195">
        <f>SUMIFS($E$2:$E$548,$C$2:$C$548,C195,$I$2:$I$548,I195)</f>
        <v/>
      </c>
      <c r="O195">
        <f>IF(J195="Merchant not found","Merchant not found",IF(AND(N195&gt;5000,L195&lt;&gt;"East"),"High-Value Merchant Day","Normal Merchant Day"))</f>
        <v/>
      </c>
    </row>
    <row r="196">
      <c r="A196" t="inlineStr">
        <is>
          <t>TXN100194</t>
        </is>
      </c>
      <c r="B196" t="n">
        <v>283</v>
      </c>
      <c r="C196" t="n">
        <v>14</v>
      </c>
      <c r="D196" s="3" t="n">
        <v>46026.86180555556</v>
      </c>
      <c r="E196" t="n">
        <v>99</v>
      </c>
      <c r="F196" t="inlineStr">
        <is>
          <t>Wallet</t>
        </is>
      </c>
      <c r="G196" t="inlineStr">
        <is>
          <t>captured</t>
        </is>
      </c>
      <c r="H196" t="n">
        <v>55</v>
      </c>
      <c r="I196" s="4">
        <f>INT(D196)</f>
        <v/>
      </c>
      <c r="J196">
        <f>IFERROR(VLOOKUP(C196,Merchants!$A$2:$D$41,2,FALSE),"Merchant not found")</f>
        <v/>
      </c>
      <c r="K196">
        <f>IFERROR(VLOOKUP(C196,Merchants!$A$2:$D$41,3,FALSE),"Merchant not found")</f>
        <v/>
      </c>
      <c r="L196">
        <f>IFERROR(VLOOKUP(C196,Merchants!$A$2:$D$41,4,FALSE),"Merchant not found")</f>
        <v/>
      </c>
      <c r="M196" s="5">
        <f>HLOOKUP(F196,Fee_Reference!$B$1:$E$2,2,FALSE)</f>
        <v/>
      </c>
      <c r="N196">
        <f>SUMIFS($E$2:$E$548,$C$2:$C$548,C196,$I$2:$I$548,I196)</f>
        <v/>
      </c>
      <c r="O196">
        <f>IF(J196="Merchant not found","Merchant not found",IF(AND(N196&gt;5000,L196&lt;&gt;"East"),"High-Value Merchant Day","Normal Merchant Day"))</f>
        <v/>
      </c>
    </row>
    <row r="197">
      <c r="A197" t="inlineStr">
        <is>
          <t>TXN100195</t>
        </is>
      </c>
      <c r="B197" t="n">
        <v>174</v>
      </c>
      <c r="C197" t="n">
        <v>30</v>
      </c>
      <c r="D197" s="3" t="n">
        <v>46037.30972222222</v>
      </c>
      <c r="E197" t="n">
        <v>49</v>
      </c>
      <c r="F197" t="inlineStr">
        <is>
          <t>UPI</t>
        </is>
      </c>
      <c r="G197" t="inlineStr">
        <is>
          <t>captured</t>
        </is>
      </c>
      <c r="H197" t="n">
        <v>51</v>
      </c>
      <c r="I197" s="4">
        <f>INT(D197)</f>
        <v/>
      </c>
      <c r="J197">
        <f>IFERROR(VLOOKUP(C197,Merchants!$A$2:$D$41,2,FALSE),"Merchant not found")</f>
        <v/>
      </c>
      <c r="K197">
        <f>IFERROR(VLOOKUP(C197,Merchants!$A$2:$D$41,3,FALSE),"Merchant not found")</f>
        <v/>
      </c>
      <c r="L197">
        <f>IFERROR(VLOOKUP(C197,Merchants!$A$2:$D$41,4,FALSE),"Merchant not found")</f>
        <v/>
      </c>
      <c r="M197" s="5">
        <f>HLOOKUP(F197,Fee_Reference!$B$1:$E$2,2,FALSE)</f>
        <v/>
      </c>
      <c r="N197">
        <f>SUMIFS($E$2:$E$548,$C$2:$C$548,C197,$I$2:$I$548,I197)</f>
        <v/>
      </c>
      <c r="O197">
        <f>IF(J197="Merchant not found","Merchant not found",IF(AND(N197&gt;5000,L197&lt;&gt;"East"),"High-Value Merchant Day","Normal Merchant Day"))</f>
        <v/>
      </c>
    </row>
    <row r="198">
      <c r="A198" t="inlineStr">
        <is>
          <t>TXN100196</t>
        </is>
      </c>
      <c r="B198" t="n">
        <v>161</v>
      </c>
      <c r="C198" t="n">
        <v>28</v>
      </c>
      <c r="D198" s="3" t="n">
        <v>46036.9625</v>
      </c>
      <c r="E198" t="n">
        <v>49</v>
      </c>
      <c r="F198" t="inlineStr">
        <is>
          <t>UPI</t>
        </is>
      </c>
      <c r="G198" t="inlineStr">
        <is>
          <t>captured</t>
        </is>
      </c>
      <c r="H198" t="n">
        <v>40</v>
      </c>
      <c r="I198" s="4">
        <f>INT(D198)</f>
        <v/>
      </c>
      <c r="J198">
        <f>IFERROR(VLOOKUP(C198,Merchants!$A$2:$D$41,2,FALSE),"Merchant not found")</f>
        <v/>
      </c>
      <c r="K198">
        <f>IFERROR(VLOOKUP(C198,Merchants!$A$2:$D$41,3,FALSE),"Merchant not found")</f>
        <v/>
      </c>
      <c r="L198">
        <f>IFERROR(VLOOKUP(C198,Merchants!$A$2:$D$41,4,FALSE),"Merchant not found")</f>
        <v/>
      </c>
      <c r="M198" s="5">
        <f>HLOOKUP(F198,Fee_Reference!$B$1:$E$2,2,FALSE)</f>
        <v/>
      </c>
      <c r="N198">
        <f>SUMIFS($E$2:$E$548,$C$2:$C$548,C198,$I$2:$I$548,I198)</f>
        <v/>
      </c>
      <c r="O198">
        <f>IF(J198="Merchant not found","Merchant not found",IF(AND(N198&gt;5000,L198&lt;&gt;"East"),"High-Value Merchant Day","Normal Merchant Day"))</f>
        <v/>
      </c>
    </row>
    <row r="199">
      <c r="A199" t="inlineStr">
        <is>
          <t>TXN100197</t>
        </is>
      </c>
      <c r="B199" t="n">
        <v>79</v>
      </c>
      <c r="C199" t="n">
        <v>31</v>
      </c>
      <c r="D199" s="3" t="n">
        <v>46044.34930555556</v>
      </c>
      <c r="E199" t="n">
        <v>99</v>
      </c>
      <c r="F199" t="inlineStr">
        <is>
          <t>UPI</t>
        </is>
      </c>
      <c r="G199" t="inlineStr">
        <is>
          <t>captured</t>
        </is>
      </c>
      <c r="H199" t="n">
        <v>8</v>
      </c>
      <c r="I199" s="4">
        <f>INT(D199)</f>
        <v/>
      </c>
      <c r="J199">
        <f>IFERROR(VLOOKUP(C199,Merchants!$A$2:$D$41,2,FALSE),"Merchant not found")</f>
        <v/>
      </c>
      <c r="K199">
        <f>IFERROR(VLOOKUP(C199,Merchants!$A$2:$D$41,3,FALSE),"Merchant not found")</f>
        <v/>
      </c>
      <c r="L199">
        <f>IFERROR(VLOOKUP(C199,Merchants!$A$2:$D$41,4,FALSE),"Merchant not found")</f>
        <v/>
      </c>
      <c r="M199" s="5">
        <f>HLOOKUP(F199,Fee_Reference!$B$1:$E$2,2,FALSE)</f>
        <v/>
      </c>
      <c r="N199">
        <f>SUMIFS($E$2:$E$548,$C$2:$C$548,C199,$I$2:$I$548,I199)</f>
        <v/>
      </c>
      <c r="O199">
        <f>IF(J199="Merchant not found","Merchant not found",IF(AND(N199&gt;5000,L199&lt;&gt;"East"),"High-Value Merchant Day","Normal Merchant Day"))</f>
        <v/>
      </c>
    </row>
    <row r="200">
      <c r="A200" t="inlineStr">
        <is>
          <t>TXN100198</t>
        </is>
      </c>
      <c r="B200" t="n">
        <v>222</v>
      </c>
      <c r="C200" t="n">
        <v>7</v>
      </c>
      <c r="D200" s="3" t="n">
        <v>46025.08680555555</v>
      </c>
      <c r="E200" t="n">
        <v>149</v>
      </c>
      <c r="F200" t="inlineStr">
        <is>
          <t>Wallet</t>
        </is>
      </c>
      <c r="G200" t="inlineStr">
        <is>
          <t>captured</t>
        </is>
      </c>
      <c r="H200" t="n">
        <v>95</v>
      </c>
      <c r="I200" s="4">
        <f>INT(D200)</f>
        <v/>
      </c>
      <c r="J200">
        <f>IFERROR(VLOOKUP(C200,Merchants!$A$2:$D$41,2,FALSE),"Merchant not found")</f>
        <v/>
      </c>
      <c r="K200">
        <f>IFERROR(VLOOKUP(C200,Merchants!$A$2:$D$41,3,FALSE),"Merchant not found")</f>
        <v/>
      </c>
      <c r="L200">
        <f>IFERROR(VLOOKUP(C200,Merchants!$A$2:$D$41,4,FALSE),"Merchant not found")</f>
        <v/>
      </c>
      <c r="M200" s="5">
        <f>HLOOKUP(F200,Fee_Reference!$B$1:$E$2,2,FALSE)</f>
        <v/>
      </c>
      <c r="N200">
        <f>SUMIFS($E$2:$E$548,$C$2:$C$548,C200,$I$2:$I$548,I200)</f>
        <v/>
      </c>
      <c r="O200">
        <f>IF(J200="Merchant not found","Merchant not found",IF(AND(N200&gt;5000,L200&lt;&gt;"East"),"High-Value Merchant Day","Normal Merchant Day"))</f>
        <v/>
      </c>
    </row>
    <row r="201">
      <c r="A201" t="inlineStr">
        <is>
          <t>TXN100199</t>
        </is>
      </c>
      <c r="B201" t="n">
        <v>67</v>
      </c>
      <c r="C201" t="n">
        <v>36</v>
      </c>
      <c r="D201" s="3" t="n">
        <v>46046.49375</v>
      </c>
      <c r="E201" t="n">
        <v>99</v>
      </c>
      <c r="F201" t="inlineStr">
        <is>
          <t>UPI</t>
        </is>
      </c>
      <c r="G201" t="inlineStr">
        <is>
          <t>captured</t>
        </is>
      </c>
      <c r="H201" t="n">
        <v>7</v>
      </c>
      <c r="I201" s="4">
        <f>INT(D201)</f>
        <v/>
      </c>
      <c r="J201">
        <f>IFERROR(VLOOKUP(C201,Merchants!$A$2:$D$41,2,FALSE),"Merchant not found")</f>
        <v/>
      </c>
      <c r="K201">
        <f>IFERROR(VLOOKUP(C201,Merchants!$A$2:$D$41,3,FALSE),"Merchant not found")</f>
        <v/>
      </c>
      <c r="L201">
        <f>IFERROR(VLOOKUP(C201,Merchants!$A$2:$D$41,4,FALSE),"Merchant not found")</f>
        <v/>
      </c>
      <c r="M201" s="5">
        <f>HLOOKUP(F201,Fee_Reference!$B$1:$E$2,2,FALSE)</f>
        <v/>
      </c>
      <c r="N201">
        <f>SUMIFS($E$2:$E$548,$C$2:$C$548,C201,$I$2:$I$548,I201)</f>
        <v/>
      </c>
      <c r="O201">
        <f>IF(J201="Merchant not found","Merchant not found",IF(AND(N201&gt;5000,L201&lt;&gt;"East"),"High-Value Merchant Day","Normal Merchant Day"))</f>
        <v/>
      </c>
    </row>
    <row r="202">
      <c r="A202" t="inlineStr">
        <is>
          <t>TXN100200</t>
        </is>
      </c>
      <c r="B202" t="n">
        <v>169</v>
      </c>
      <c r="C202" t="n">
        <v>8</v>
      </c>
      <c r="D202" s="3" t="n">
        <v>46041.73263888889</v>
      </c>
      <c r="E202" t="n">
        <v>99</v>
      </c>
      <c r="F202" t="inlineStr">
        <is>
          <t>UPI</t>
        </is>
      </c>
      <c r="G202" t="inlineStr">
        <is>
          <t>captured</t>
        </is>
      </c>
      <c r="H202" t="n">
        <v>52</v>
      </c>
      <c r="I202" s="4">
        <f>INT(D202)</f>
        <v/>
      </c>
      <c r="J202">
        <f>IFERROR(VLOOKUP(C202,Merchants!$A$2:$D$41,2,FALSE),"Merchant not found")</f>
        <v/>
      </c>
      <c r="K202">
        <f>IFERROR(VLOOKUP(C202,Merchants!$A$2:$D$41,3,FALSE),"Merchant not found")</f>
        <v/>
      </c>
      <c r="L202">
        <f>IFERROR(VLOOKUP(C202,Merchants!$A$2:$D$41,4,FALSE),"Merchant not found")</f>
        <v/>
      </c>
      <c r="M202" s="5">
        <f>HLOOKUP(F202,Fee_Reference!$B$1:$E$2,2,FALSE)</f>
        <v/>
      </c>
      <c r="N202">
        <f>SUMIFS($E$2:$E$548,$C$2:$C$548,C202,$I$2:$I$548,I202)</f>
        <v/>
      </c>
      <c r="O202">
        <f>IF(J202="Merchant not found","Merchant not found",IF(AND(N202&gt;5000,L202&lt;&gt;"East"),"High-Value Merchant Day","Normal Merchant Day"))</f>
        <v/>
      </c>
    </row>
    <row r="203">
      <c r="A203" t="inlineStr">
        <is>
          <t>TXN100201</t>
        </is>
      </c>
      <c r="B203" t="n">
        <v>217</v>
      </c>
      <c r="C203" t="n">
        <v>4</v>
      </c>
      <c r="D203" s="3" t="n">
        <v>46034.90833333333</v>
      </c>
      <c r="E203" t="n">
        <v>49</v>
      </c>
      <c r="F203" t="inlineStr">
        <is>
          <t>UPI</t>
        </is>
      </c>
      <c r="G203" t="inlineStr">
        <is>
          <t>captured</t>
        </is>
      </c>
      <c r="H203" t="n">
        <v>36</v>
      </c>
      <c r="I203" s="4">
        <f>INT(D203)</f>
        <v/>
      </c>
      <c r="J203">
        <f>IFERROR(VLOOKUP(C203,Merchants!$A$2:$D$41,2,FALSE),"Merchant not found")</f>
        <v/>
      </c>
      <c r="K203">
        <f>IFERROR(VLOOKUP(C203,Merchants!$A$2:$D$41,3,FALSE),"Merchant not found")</f>
        <v/>
      </c>
      <c r="L203">
        <f>IFERROR(VLOOKUP(C203,Merchants!$A$2:$D$41,4,FALSE),"Merchant not found")</f>
        <v/>
      </c>
      <c r="M203" s="5">
        <f>HLOOKUP(F203,Fee_Reference!$B$1:$E$2,2,FALSE)</f>
        <v/>
      </c>
      <c r="N203">
        <f>SUMIFS($E$2:$E$548,$C$2:$C$548,C203,$I$2:$I$548,I203)</f>
        <v/>
      </c>
      <c r="O203">
        <f>IF(J203="Merchant not found","Merchant not found",IF(AND(N203&gt;5000,L203&lt;&gt;"East"),"High-Value Merchant Day","Normal Merchant Day"))</f>
        <v/>
      </c>
    </row>
    <row r="204">
      <c r="A204" t="inlineStr">
        <is>
          <t>TXN100202</t>
        </is>
      </c>
      <c r="B204" t="n">
        <v>54</v>
      </c>
      <c r="C204" t="n">
        <v>37</v>
      </c>
      <c r="D204" s="3" t="n">
        <v>46042.39027777778</v>
      </c>
      <c r="E204" t="n">
        <v>149</v>
      </c>
      <c r="F204" t="inlineStr">
        <is>
          <t>UPI</t>
        </is>
      </c>
      <c r="G204" t="inlineStr">
        <is>
          <t>captured</t>
        </is>
      </c>
      <c r="H204" t="n">
        <v>64</v>
      </c>
      <c r="I204" s="4">
        <f>INT(D204)</f>
        <v/>
      </c>
      <c r="J204">
        <f>IFERROR(VLOOKUP(C204,Merchants!$A$2:$D$41,2,FALSE),"Merchant not found")</f>
        <v/>
      </c>
      <c r="K204">
        <f>IFERROR(VLOOKUP(C204,Merchants!$A$2:$D$41,3,FALSE),"Merchant not found")</f>
        <v/>
      </c>
      <c r="L204">
        <f>IFERROR(VLOOKUP(C204,Merchants!$A$2:$D$41,4,FALSE),"Merchant not found")</f>
        <v/>
      </c>
      <c r="M204" s="5">
        <f>HLOOKUP(F204,Fee_Reference!$B$1:$E$2,2,FALSE)</f>
        <v/>
      </c>
      <c r="N204">
        <f>SUMIFS($E$2:$E$548,$C$2:$C$548,C204,$I$2:$I$548,I204)</f>
        <v/>
      </c>
      <c r="O204">
        <f>IF(J204="Merchant not found","Merchant not found",IF(AND(N204&gt;5000,L204&lt;&gt;"East"),"High-Value Merchant Day","Normal Merchant Day"))</f>
        <v/>
      </c>
    </row>
    <row r="205">
      <c r="A205" t="inlineStr">
        <is>
          <t>TXN100203</t>
        </is>
      </c>
      <c r="B205" t="n">
        <v>247</v>
      </c>
      <c r="C205" t="n">
        <v>15</v>
      </c>
      <c r="D205" s="3" t="n">
        <v>46029.19583333333</v>
      </c>
      <c r="E205" t="n">
        <v>49</v>
      </c>
      <c r="F205" t="inlineStr">
        <is>
          <t>Card</t>
        </is>
      </c>
      <c r="G205" t="inlineStr">
        <is>
          <t>captured</t>
        </is>
      </c>
      <c r="H205" t="n">
        <v>13</v>
      </c>
      <c r="I205" s="4">
        <f>INT(D205)</f>
        <v/>
      </c>
      <c r="J205">
        <f>IFERROR(VLOOKUP(C205,Merchants!$A$2:$D$41,2,FALSE),"Merchant not found")</f>
        <v/>
      </c>
      <c r="K205">
        <f>IFERROR(VLOOKUP(C205,Merchants!$A$2:$D$41,3,FALSE),"Merchant not found")</f>
        <v/>
      </c>
      <c r="L205">
        <f>IFERROR(VLOOKUP(C205,Merchants!$A$2:$D$41,4,FALSE),"Merchant not found")</f>
        <v/>
      </c>
      <c r="M205" s="5">
        <f>HLOOKUP(F205,Fee_Reference!$B$1:$E$2,2,FALSE)</f>
        <v/>
      </c>
      <c r="N205">
        <f>SUMIFS($E$2:$E$548,$C$2:$C$548,C205,$I$2:$I$548,I205)</f>
        <v/>
      </c>
      <c r="O205">
        <f>IF(J205="Merchant not found","Merchant not found",IF(AND(N205&gt;5000,L205&lt;&gt;"East"),"High-Value Merchant Day","Normal Merchant Day"))</f>
        <v/>
      </c>
    </row>
    <row r="206">
      <c r="A206" t="inlineStr">
        <is>
          <t>TXN100204</t>
        </is>
      </c>
      <c r="B206" t="n">
        <v>59</v>
      </c>
      <c r="C206" t="n">
        <v>18</v>
      </c>
      <c r="D206" s="3" t="n">
        <v>46034.72430555556</v>
      </c>
      <c r="E206" t="n">
        <v>49</v>
      </c>
      <c r="F206" t="inlineStr">
        <is>
          <t>Card</t>
        </is>
      </c>
      <c r="G206" t="inlineStr">
        <is>
          <t>captured</t>
        </is>
      </c>
      <c r="H206" t="n">
        <v>73</v>
      </c>
      <c r="I206" s="4">
        <f>INT(D206)</f>
        <v/>
      </c>
      <c r="J206">
        <f>IFERROR(VLOOKUP(C206,Merchants!$A$2:$D$41,2,FALSE),"Merchant not found")</f>
        <v/>
      </c>
      <c r="K206">
        <f>IFERROR(VLOOKUP(C206,Merchants!$A$2:$D$41,3,FALSE),"Merchant not found")</f>
        <v/>
      </c>
      <c r="L206">
        <f>IFERROR(VLOOKUP(C206,Merchants!$A$2:$D$41,4,FALSE),"Merchant not found")</f>
        <v/>
      </c>
      <c r="M206" s="5">
        <f>HLOOKUP(F206,Fee_Reference!$B$1:$E$2,2,FALSE)</f>
        <v/>
      </c>
      <c r="N206">
        <f>SUMIFS($E$2:$E$548,$C$2:$C$548,C206,$I$2:$I$548,I206)</f>
        <v/>
      </c>
      <c r="O206">
        <f>IF(J206="Merchant not found","Merchant not found",IF(AND(N206&gt;5000,L206&lt;&gt;"East"),"High-Value Merchant Day","Normal Merchant Day"))</f>
        <v/>
      </c>
    </row>
    <row r="207">
      <c r="A207" t="inlineStr">
        <is>
          <t>TXN100205</t>
        </is>
      </c>
      <c r="B207" t="n">
        <v>288</v>
      </c>
      <c r="C207" t="n">
        <v>40</v>
      </c>
      <c r="D207" s="3" t="n">
        <v>46030.57916666667</v>
      </c>
      <c r="E207" t="n">
        <v>49</v>
      </c>
      <c r="F207" t="inlineStr">
        <is>
          <t>UPI</t>
        </is>
      </c>
      <c r="G207" t="inlineStr">
        <is>
          <t>failed</t>
        </is>
      </c>
      <c r="H207" t="n">
        <v>78</v>
      </c>
      <c r="I207" s="4">
        <f>INT(D207)</f>
        <v/>
      </c>
      <c r="J207">
        <f>IFERROR(VLOOKUP(C207,Merchants!$A$2:$D$41,2,FALSE),"Merchant not found")</f>
        <v/>
      </c>
      <c r="K207">
        <f>IFERROR(VLOOKUP(C207,Merchants!$A$2:$D$41,3,FALSE),"Merchant not found")</f>
        <v/>
      </c>
      <c r="L207">
        <f>IFERROR(VLOOKUP(C207,Merchants!$A$2:$D$41,4,FALSE),"Merchant not found")</f>
        <v/>
      </c>
      <c r="M207" s="5">
        <f>HLOOKUP(F207,Fee_Reference!$B$1:$E$2,2,FALSE)</f>
        <v/>
      </c>
      <c r="N207">
        <f>SUMIFS($E$2:$E$548,$C$2:$C$548,C207,$I$2:$I$548,I207)</f>
        <v/>
      </c>
      <c r="O207">
        <f>IF(J207="Merchant not found","Merchant not found",IF(AND(N207&gt;5000,L207&lt;&gt;"East"),"High-Value Merchant Day","Normal Merchant Day"))</f>
        <v/>
      </c>
    </row>
    <row r="208">
      <c r="A208" t="inlineStr">
        <is>
          <t>TXN100206</t>
        </is>
      </c>
      <c r="B208" t="n">
        <v>14</v>
      </c>
      <c r="C208" t="n">
        <v>39</v>
      </c>
      <c r="D208" s="3" t="n">
        <v>46044.85763888889</v>
      </c>
      <c r="E208" t="n">
        <v>799</v>
      </c>
      <c r="F208" t="inlineStr">
        <is>
          <t>UPI</t>
        </is>
      </c>
      <c r="G208" t="inlineStr">
        <is>
          <t>captured</t>
        </is>
      </c>
      <c r="H208" t="n">
        <v>84</v>
      </c>
      <c r="I208" s="4">
        <f>INT(D208)</f>
        <v/>
      </c>
      <c r="J208">
        <f>IFERROR(VLOOKUP(C208,Merchants!$A$2:$D$41,2,FALSE),"Merchant not found")</f>
        <v/>
      </c>
      <c r="K208">
        <f>IFERROR(VLOOKUP(C208,Merchants!$A$2:$D$41,3,FALSE),"Merchant not found")</f>
        <v/>
      </c>
      <c r="L208">
        <f>IFERROR(VLOOKUP(C208,Merchants!$A$2:$D$41,4,FALSE),"Merchant not found")</f>
        <v/>
      </c>
      <c r="M208" s="5">
        <f>HLOOKUP(F208,Fee_Reference!$B$1:$E$2,2,FALSE)</f>
        <v/>
      </c>
      <c r="N208">
        <f>SUMIFS($E$2:$E$548,$C$2:$C$548,C208,$I$2:$I$548,I208)</f>
        <v/>
      </c>
      <c r="O208">
        <f>IF(J208="Merchant not found","Merchant not found",IF(AND(N208&gt;5000,L208&lt;&gt;"East"),"High-Value Merchant Day","Normal Merchant Day"))</f>
        <v/>
      </c>
    </row>
    <row r="209">
      <c r="A209" t="inlineStr">
        <is>
          <t>TXN100207</t>
        </is>
      </c>
      <c r="B209" t="n">
        <v>15</v>
      </c>
      <c r="C209" t="n">
        <v>12</v>
      </c>
      <c r="D209" s="3" t="n">
        <v>46049.92847222222</v>
      </c>
      <c r="E209" t="n">
        <v>149</v>
      </c>
      <c r="F209" t="inlineStr">
        <is>
          <t>UPI</t>
        </is>
      </c>
      <c r="G209" t="inlineStr">
        <is>
          <t>captured</t>
        </is>
      </c>
      <c r="H209" t="n">
        <v>34</v>
      </c>
      <c r="I209" s="4">
        <f>INT(D209)</f>
        <v/>
      </c>
      <c r="J209">
        <f>IFERROR(VLOOKUP(C209,Merchants!$A$2:$D$41,2,FALSE),"Merchant not found")</f>
        <v/>
      </c>
      <c r="K209">
        <f>IFERROR(VLOOKUP(C209,Merchants!$A$2:$D$41,3,FALSE),"Merchant not found")</f>
        <v/>
      </c>
      <c r="L209">
        <f>IFERROR(VLOOKUP(C209,Merchants!$A$2:$D$41,4,FALSE),"Merchant not found")</f>
        <v/>
      </c>
      <c r="M209" s="5">
        <f>HLOOKUP(F209,Fee_Reference!$B$1:$E$2,2,FALSE)</f>
        <v/>
      </c>
      <c r="N209">
        <f>SUMIFS($E$2:$E$548,$C$2:$C$548,C209,$I$2:$I$548,I209)</f>
        <v/>
      </c>
      <c r="O209">
        <f>IF(J209="Merchant not found","Merchant not found",IF(AND(N209&gt;5000,L209&lt;&gt;"East"),"High-Value Merchant Day","Normal Merchant Day"))</f>
        <v/>
      </c>
    </row>
    <row r="210">
      <c r="A210" t="inlineStr">
        <is>
          <t>TXN100208</t>
        </is>
      </c>
      <c r="B210" t="n">
        <v>174</v>
      </c>
      <c r="C210" t="n">
        <v>23</v>
      </c>
      <c r="D210" s="3" t="n">
        <v>46045.41527777778</v>
      </c>
      <c r="E210" t="n">
        <v>149</v>
      </c>
      <c r="F210" t="inlineStr">
        <is>
          <t>UPI</t>
        </is>
      </c>
      <c r="G210" t="inlineStr">
        <is>
          <t>captured</t>
        </is>
      </c>
      <c r="H210" t="n">
        <v>0</v>
      </c>
      <c r="I210" s="4">
        <f>INT(D210)</f>
        <v/>
      </c>
      <c r="J210">
        <f>IFERROR(VLOOKUP(C210,Merchants!$A$2:$D$41,2,FALSE),"Merchant not found")</f>
        <v/>
      </c>
      <c r="K210">
        <f>IFERROR(VLOOKUP(C210,Merchants!$A$2:$D$41,3,FALSE),"Merchant not found")</f>
        <v/>
      </c>
      <c r="L210">
        <f>IFERROR(VLOOKUP(C210,Merchants!$A$2:$D$41,4,FALSE),"Merchant not found")</f>
        <v/>
      </c>
      <c r="M210" s="5">
        <f>HLOOKUP(F210,Fee_Reference!$B$1:$E$2,2,FALSE)</f>
        <v/>
      </c>
      <c r="N210">
        <f>SUMIFS($E$2:$E$548,$C$2:$C$548,C210,$I$2:$I$548,I210)</f>
        <v/>
      </c>
      <c r="O210">
        <f>IF(J210="Merchant not found","Merchant not found",IF(AND(N210&gt;5000,L210&lt;&gt;"East"),"High-Value Merchant Day","Normal Merchant Day"))</f>
        <v/>
      </c>
    </row>
    <row r="211">
      <c r="A211" t="inlineStr">
        <is>
          <t>TXN100209</t>
        </is>
      </c>
      <c r="B211" t="n">
        <v>337</v>
      </c>
      <c r="C211" t="n">
        <v>26</v>
      </c>
      <c r="D211" s="3" t="n">
        <v>46028.19166666667</v>
      </c>
      <c r="E211" t="n">
        <v>49</v>
      </c>
      <c r="F211" t="inlineStr">
        <is>
          <t>UPI</t>
        </is>
      </c>
      <c r="G211" t="inlineStr">
        <is>
          <t>captured</t>
        </is>
      </c>
      <c r="H211" t="n">
        <v>8</v>
      </c>
      <c r="I211" s="4">
        <f>INT(D211)</f>
        <v/>
      </c>
      <c r="J211">
        <f>IFERROR(VLOOKUP(C211,Merchants!$A$2:$D$41,2,FALSE),"Merchant not found")</f>
        <v/>
      </c>
      <c r="K211">
        <f>IFERROR(VLOOKUP(C211,Merchants!$A$2:$D$41,3,FALSE),"Merchant not found")</f>
        <v/>
      </c>
      <c r="L211">
        <f>IFERROR(VLOOKUP(C211,Merchants!$A$2:$D$41,4,FALSE),"Merchant not found")</f>
        <v/>
      </c>
      <c r="M211" s="5">
        <f>HLOOKUP(F211,Fee_Reference!$B$1:$E$2,2,FALSE)</f>
        <v/>
      </c>
      <c r="N211">
        <f>SUMIFS($E$2:$E$548,$C$2:$C$548,C211,$I$2:$I$548,I211)</f>
        <v/>
      </c>
      <c r="O211">
        <f>IF(J211="Merchant not found","Merchant not found",IF(AND(N211&gt;5000,L211&lt;&gt;"East"),"High-Value Merchant Day","Normal Merchant Day"))</f>
        <v/>
      </c>
    </row>
    <row r="212">
      <c r="A212" t="inlineStr">
        <is>
          <t>TXN100210</t>
        </is>
      </c>
      <c r="B212" t="n">
        <v>16</v>
      </c>
      <c r="C212" t="n">
        <v>6</v>
      </c>
      <c r="D212" s="3" t="n">
        <v>46027.98611111111</v>
      </c>
      <c r="E212" t="n">
        <v>1499</v>
      </c>
      <c r="F212" t="inlineStr">
        <is>
          <t>UPI</t>
        </is>
      </c>
      <c r="G212" t="inlineStr">
        <is>
          <t>captured</t>
        </is>
      </c>
      <c r="H212" t="n">
        <v>95</v>
      </c>
      <c r="I212" s="4">
        <f>INT(D212)</f>
        <v/>
      </c>
      <c r="J212">
        <f>IFERROR(VLOOKUP(C212,Merchants!$A$2:$D$41,2,FALSE),"Merchant not found")</f>
        <v/>
      </c>
      <c r="K212">
        <f>IFERROR(VLOOKUP(C212,Merchants!$A$2:$D$41,3,FALSE),"Merchant not found")</f>
        <v/>
      </c>
      <c r="L212">
        <f>IFERROR(VLOOKUP(C212,Merchants!$A$2:$D$41,4,FALSE),"Merchant not found")</f>
        <v/>
      </c>
      <c r="M212" s="5">
        <f>HLOOKUP(F212,Fee_Reference!$B$1:$E$2,2,FALSE)</f>
        <v/>
      </c>
      <c r="N212">
        <f>SUMIFS($E$2:$E$548,$C$2:$C$548,C212,$I$2:$I$548,I212)</f>
        <v/>
      </c>
      <c r="O212">
        <f>IF(J212="Merchant not found","Merchant not found",IF(AND(N212&gt;5000,L212&lt;&gt;"East"),"High-Value Merchant Day","Normal Merchant Day"))</f>
        <v/>
      </c>
    </row>
    <row r="213">
      <c r="A213" t="inlineStr">
        <is>
          <t>TXN100211</t>
        </is>
      </c>
      <c r="B213" t="n">
        <v>215</v>
      </c>
      <c r="C213" t="n">
        <v>30</v>
      </c>
      <c r="D213" s="3" t="n">
        <v>46039.26666666667</v>
      </c>
      <c r="E213" t="n">
        <v>49</v>
      </c>
      <c r="F213" t="inlineStr">
        <is>
          <t>UPI</t>
        </is>
      </c>
      <c r="G213" t="inlineStr">
        <is>
          <t>captured</t>
        </is>
      </c>
      <c r="H213" t="n">
        <v>43</v>
      </c>
      <c r="I213" s="4">
        <f>INT(D213)</f>
        <v/>
      </c>
      <c r="J213">
        <f>IFERROR(VLOOKUP(C213,Merchants!$A$2:$D$41,2,FALSE),"Merchant not found")</f>
        <v/>
      </c>
      <c r="K213">
        <f>IFERROR(VLOOKUP(C213,Merchants!$A$2:$D$41,3,FALSE),"Merchant not found")</f>
        <v/>
      </c>
      <c r="L213">
        <f>IFERROR(VLOOKUP(C213,Merchants!$A$2:$D$41,4,FALSE),"Merchant not found")</f>
        <v/>
      </c>
      <c r="M213" s="5">
        <f>HLOOKUP(F213,Fee_Reference!$B$1:$E$2,2,FALSE)</f>
        <v/>
      </c>
      <c r="N213">
        <f>SUMIFS($E$2:$E$548,$C$2:$C$548,C213,$I$2:$I$548,I213)</f>
        <v/>
      </c>
      <c r="O213">
        <f>IF(J213="Merchant not found","Merchant not found",IF(AND(N213&gt;5000,L213&lt;&gt;"East"),"High-Value Merchant Day","Normal Merchant Day"))</f>
        <v/>
      </c>
    </row>
    <row r="214">
      <c r="A214" t="inlineStr">
        <is>
          <t>TXN100212</t>
        </is>
      </c>
      <c r="B214" t="n">
        <v>167</v>
      </c>
      <c r="C214" t="n">
        <v>37</v>
      </c>
      <c r="D214" s="3" t="n">
        <v>46028.47152777778</v>
      </c>
      <c r="E214" t="n">
        <v>99</v>
      </c>
      <c r="F214" t="inlineStr">
        <is>
          <t>UPI</t>
        </is>
      </c>
      <c r="G214" t="inlineStr">
        <is>
          <t>captured</t>
        </is>
      </c>
      <c r="H214" t="n">
        <v>76</v>
      </c>
      <c r="I214" s="4">
        <f>INT(D214)</f>
        <v/>
      </c>
      <c r="J214">
        <f>IFERROR(VLOOKUP(C214,Merchants!$A$2:$D$41,2,FALSE),"Merchant not found")</f>
        <v/>
      </c>
      <c r="K214">
        <f>IFERROR(VLOOKUP(C214,Merchants!$A$2:$D$41,3,FALSE),"Merchant not found")</f>
        <v/>
      </c>
      <c r="L214">
        <f>IFERROR(VLOOKUP(C214,Merchants!$A$2:$D$41,4,FALSE),"Merchant not found")</f>
        <v/>
      </c>
      <c r="M214" s="5">
        <f>HLOOKUP(F214,Fee_Reference!$B$1:$E$2,2,FALSE)</f>
        <v/>
      </c>
      <c r="N214">
        <f>SUMIFS($E$2:$E$548,$C$2:$C$548,C214,$I$2:$I$548,I214)</f>
        <v/>
      </c>
      <c r="O214">
        <f>IF(J214="Merchant not found","Merchant not found",IF(AND(N214&gt;5000,L214&lt;&gt;"East"),"High-Value Merchant Day","Normal Merchant Day"))</f>
        <v/>
      </c>
    </row>
    <row r="215">
      <c r="A215" t="inlineStr">
        <is>
          <t>TXN100213</t>
        </is>
      </c>
      <c r="B215" t="n">
        <v>81</v>
      </c>
      <c r="C215" t="n">
        <v>40</v>
      </c>
      <c r="D215" s="3" t="n">
        <v>46025.04791666667</v>
      </c>
      <c r="E215" t="n">
        <v>49</v>
      </c>
      <c r="F215" t="inlineStr">
        <is>
          <t>UPI</t>
        </is>
      </c>
      <c r="G215" t="inlineStr">
        <is>
          <t>captured</t>
        </is>
      </c>
      <c r="H215" t="n">
        <v>6</v>
      </c>
      <c r="I215" s="4">
        <f>INT(D215)</f>
        <v/>
      </c>
      <c r="J215">
        <f>IFERROR(VLOOKUP(C215,Merchants!$A$2:$D$41,2,FALSE),"Merchant not found")</f>
        <v/>
      </c>
      <c r="K215">
        <f>IFERROR(VLOOKUP(C215,Merchants!$A$2:$D$41,3,FALSE),"Merchant not found")</f>
        <v/>
      </c>
      <c r="L215">
        <f>IFERROR(VLOOKUP(C215,Merchants!$A$2:$D$41,4,FALSE),"Merchant not found")</f>
        <v/>
      </c>
      <c r="M215" s="5">
        <f>HLOOKUP(F215,Fee_Reference!$B$1:$E$2,2,FALSE)</f>
        <v/>
      </c>
      <c r="N215">
        <f>SUMIFS($E$2:$E$548,$C$2:$C$548,C215,$I$2:$I$548,I215)</f>
        <v/>
      </c>
      <c r="O215">
        <f>IF(J215="Merchant not found","Merchant not found",IF(AND(N215&gt;5000,L215&lt;&gt;"East"),"High-Value Merchant Day","Normal Merchant Day"))</f>
        <v/>
      </c>
    </row>
    <row r="216">
      <c r="A216" t="inlineStr">
        <is>
          <t>TXN100214</t>
        </is>
      </c>
      <c r="B216" t="n">
        <v>227</v>
      </c>
      <c r="C216" t="n">
        <v>28</v>
      </c>
      <c r="D216" s="3" t="n">
        <v>46044.09513888889</v>
      </c>
      <c r="E216" t="n">
        <v>99</v>
      </c>
      <c r="F216" t="inlineStr">
        <is>
          <t>UPI</t>
        </is>
      </c>
      <c r="G216" t="inlineStr">
        <is>
          <t>captured</t>
        </is>
      </c>
      <c r="H216" t="n">
        <v>62</v>
      </c>
      <c r="I216" s="4">
        <f>INT(D216)</f>
        <v/>
      </c>
      <c r="J216">
        <f>IFERROR(VLOOKUP(C216,Merchants!$A$2:$D$41,2,FALSE),"Merchant not found")</f>
        <v/>
      </c>
      <c r="K216">
        <f>IFERROR(VLOOKUP(C216,Merchants!$A$2:$D$41,3,FALSE),"Merchant not found")</f>
        <v/>
      </c>
      <c r="L216">
        <f>IFERROR(VLOOKUP(C216,Merchants!$A$2:$D$41,4,FALSE),"Merchant not found")</f>
        <v/>
      </c>
      <c r="M216" s="5">
        <f>HLOOKUP(F216,Fee_Reference!$B$1:$E$2,2,FALSE)</f>
        <v/>
      </c>
      <c r="N216">
        <f>SUMIFS($E$2:$E$548,$C$2:$C$548,C216,$I$2:$I$548,I216)</f>
        <v/>
      </c>
      <c r="O216">
        <f>IF(J216="Merchant not found","Merchant not found",IF(AND(N216&gt;5000,L216&lt;&gt;"East"),"High-Value Merchant Day","Normal Merchant Day"))</f>
        <v/>
      </c>
    </row>
    <row r="217">
      <c r="A217" t="inlineStr">
        <is>
          <t>TXN100215</t>
        </is>
      </c>
      <c r="B217" t="n">
        <v>140</v>
      </c>
      <c r="C217" t="n">
        <v>14</v>
      </c>
      <c r="D217" s="3" t="n">
        <v>46042.60138888889</v>
      </c>
      <c r="E217" t="n">
        <v>299</v>
      </c>
      <c r="F217" t="inlineStr">
        <is>
          <t>Wallet</t>
        </is>
      </c>
      <c r="G217" t="inlineStr">
        <is>
          <t>captured</t>
        </is>
      </c>
      <c r="H217" t="n">
        <v>96</v>
      </c>
      <c r="I217" s="4">
        <f>INT(D217)</f>
        <v/>
      </c>
      <c r="J217">
        <f>IFERROR(VLOOKUP(C217,Merchants!$A$2:$D$41,2,FALSE),"Merchant not found")</f>
        <v/>
      </c>
      <c r="K217">
        <f>IFERROR(VLOOKUP(C217,Merchants!$A$2:$D$41,3,FALSE),"Merchant not found")</f>
        <v/>
      </c>
      <c r="L217">
        <f>IFERROR(VLOOKUP(C217,Merchants!$A$2:$D$41,4,FALSE),"Merchant not found")</f>
        <v/>
      </c>
      <c r="M217" s="5">
        <f>HLOOKUP(F217,Fee_Reference!$B$1:$E$2,2,FALSE)</f>
        <v/>
      </c>
      <c r="N217">
        <f>SUMIFS($E$2:$E$548,$C$2:$C$548,C217,$I$2:$I$548,I217)</f>
        <v/>
      </c>
      <c r="O217">
        <f>IF(J217="Merchant not found","Merchant not found",IF(AND(N217&gt;5000,L217&lt;&gt;"East"),"High-Value Merchant Day","Normal Merchant Day"))</f>
        <v/>
      </c>
    </row>
    <row r="218">
      <c r="A218" t="inlineStr">
        <is>
          <t>TXN100216</t>
        </is>
      </c>
      <c r="B218" t="n">
        <v>221</v>
      </c>
      <c r="C218" t="n">
        <v>8</v>
      </c>
      <c r="D218" s="3" t="n">
        <v>46039.14027777778</v>
      </c>
      <c r="E218" t="n">
        <v>299</v>
      </c>
      <c r="F218" t="inlineStr">
        <is>
          <t>UPI</t>
        </is>
      </c>
      <c r="G218" t="inlineStr">
        <is>
          <t>captured</t>
        </is>
      </c>
      <c r="H218" t="n">
        <v>36</v>
      </c>
      <c r="I218" s="4">
        <f>INT(D218)</f>
        <v/>
      </c>
      <c r="J218">
        <f>IFERROR(VLOOKUP(C218,Merchants!$A$2:$D$41,2,FALSE),"Merchant not found")</f>
        <v/>
      </c>
      <c r="K218">
        <f>IFERROR(VLOOKUP(C218,Merchants!$A$2:$D$41,3,FALSE),"Merchant not found")</f>
        <v/>
      </c>
      <c r="L218">
        <f>IFERROR(VLOOKUP(C218,Merchants!$A$2:$D$41,4,FALSE),"Merchant not found")</f>
        <v/>
      </c>
      <c r="M218" s="5">
        <f>HLOOKUP(F218,Fee_Reference!$B$1:$E$2,2,FALSE)</f>
        <v/>
      </c>
      <c r="N218">
        <f>SUMIFS($E$2:$E$548,$C$2:$C$548,C218,$I$2:$I$548,I218)</f>
        <v/>
      </c>
      <c r="O218">
        <f>IF(J218="Merchant not found","Merchant not found",IF(AND(N218&gt;5000,L218&lt;&gt;"East"),"High-Value Merchant Day","Normal Merchant Day"))</f>
        <v/>
      </c>
    </row>
    <row r="219">
      <c r="A219" t="inlineStr">
        <is>
          <t>TXN100217</t>
        </is>
      </c>
      <c r="B219" t="n">
        <v>250</v>
      </c>
      <c r="C219" t="n">
        <v>34</v>
      </c>
      <c r="D219" s="3" t="n">
        <v>46044.90069444444</v>
      </c>
      <c r="E219" t="n">
        <v>299</v>
      </c>
      <c r="F219" t="inlineStr">
        <is>
          <t>Wallet</t>
        </is>
      </c>
      <c r="G219" t="inlineStr">
        <is>
          <t>captured</t>
        </is>
      </c>
      <c r="H219" t="n">
        <v>85</v>
      </c>
      <c r="I219" s="4">
        <f>INT(D219)</f>
        <v/>
      </c>
      <c r="J219">
        <f>IFERROR(VLOOKUP(C219,Merchants!$A$2:$D$41,2,FALSE),"Merchant not found")</f>
        <v/>
      </c>
      <c r="K219">
        <f>IFERROR(VLOOKUP(C219,Merchants!$A$2:$D$41,3,FALSE),"Merchant not found")</f>
        <v/>
      </c>
      <c r="L219">
        <f>IFERROR(VLOOKUP(C219,Merchants!$A$2:$D$41,4,FALSE),"Merchant not found")</f>
        <v/>
      </c>
      <c r="M219" s="5">
        <f>HLOOKUP(F219,Fee_Reference!$B$1:$E$2,2,FALSE)</f>
        <v/>
      </c>
      <c r="N219">
        <f>SUMIFS($E$2:$E$548,$C$2:$C$548,C219,$I$2:$I$548,I219)</f>
        <v/>
      </c>
      <c r="O219">
        <f>IF(J219="Merchant not found","Merchant not found",IF(AND(N219&gt;5000,L219&lt;&gt;"East"),"High-Value Merchant Day","Normal Merchant Day"))</f>
        <v/>
      </c>
    </row>
    <row r="220">
      <c r="A220" t="inlineStr">
        <is>
          <t>TXN100218</t>
        </is>
      </c>
      <c r="B220" t="n">
        <v>203</v>
      </c>
      <c r="C220" t="n">
        <v>39</v>
      </c>
      <c r="D220" s="3" t="n">
        <v>46032.05138888889</v>
      </c>
      <c r="E220" t="n">
        <v>49</v>
      </c>
      <c r="F220" t="inlineStr">
        <is>
          <t>UPI</t>
        </is>
      </c>
      <c r="G220" t="inlineStr">
        <is>
          <t>captured</t>
        </is>
      </c>
      <c r="H220" t="n">
        <v>7</v>
      </c>
      <c r="I220" s="4">
        <f>INT(D220)</f>
        <v/>
      </c>
      <c r="J220">
        <f>IFERROR(VLOOKUP(C220,Merchants!$A$2:$D$41,2,FALSE),"Merchant not found")</f>
        <v/>
      </c>
      <c r="K220">
        <f>IFERROR(VLOOKUP(C220,Merchants!$A$2:$D$41,3,FALSE),"Merchant not found")</f>
        <v/>
      </c>
      <c r="L220">
        <f>IFERROR(VLOOKUP(C220,Merchants!$A$2:$D$41,4,FALSE),"Merchant not found")</f>
        <v/>
      </c>
      <c r="M220" s="5">
        <f>HLOOKUP(F220,Fee_Reference!$B$1:$E$2,2,FALSE)</f>
        <v/>
      </c>
      <c r="N220">
        <f>SUMIFS($E$2:$E$548,$C$2:$C$548,C220,$I$2:$I$548,I220)</f>
        <v/>
      </c>
      <c r="O220">
        <f>IF(J220="Merchant not found","Merchant not found",IF(AND(N220&gt;5000,L220&lt;&gt;"East"),"High-Value Merchant Day","Normal Merchant Day"))</f>
        <v/>
      </c>
    </row>
    <row r="221">
      <c r="A221" t="inlineStr">
        <is>
          <t>TXN100219</t>
        </is>
      </c>
      <c r="B221" t="n">
        <v>109</v>
      </c>
      <c r="C221" t="n">
        <v>9</v>
      </c>
      <c r="D221" s="3" t="n">
        <v>46023.26319444444</v>
      </c>
      <c r="E221" t="n">
        <v>499</v>
      </c>
      <c r="F221" t="inlineStr">
        <is>
          <t>Wallet</t>
        </is>
      </c>
      <c r="G221" t="inlineStr">
        <is>
          <t>captured</t>
        </is>
      </c>
      <c r="H221" t="n">
        <v>97</v>
      </c>
      <c r="I221" s="4">
        <f>INT(D221)</f>
        <v/>
      </c>
      <c r="J221">
        <f>IFERROR(VLOOKUP(C221,Merchants!$A$2:$D$41,2,FALSE),"Merchant not found")</f>
        <v/>
      </c>
      <c r="K221">
        <f>IFERROR(VLOOKUP(C221,Merchants!$A$2:$D$41,3,FALSE),"Merchant not found")</f>
        <v/>
      </c>
      <c r="L221">
        <f>IFERROR(VLOOKUP(C221,Merchants!$A$2:$D$41,4,FALSE),"Merchant not found")</f>
        <v/>
      </c>
      <c r="M221" s="5">
        <f>HLOOKUP(F221,Fee_Reference!$B$1:$E$2,2,FALSE)</f>
        <v/>
      </c>
      <c r="N221">
        <f>SUMIFS($E$2:$E$548,$C$2:$C$548,C221,$I$2:$I$548,I221)</f>
        <v/>
      </c>
      <c r="O221">
        <f>IF(J221="Merchant not found","Merchant not found",IF(AND(N221&gt;5000,L221&lt;&gt;"East"),"High-Value Merchant Day","Normal Merchant Day"))</f>
        <v/>
      </c>
    </row>
    <row r="222">
      <c r="A222" t="inlineStr">
        <is>
          <t>TXN100220</t>
        </is>
      </c>
      <c r="B222" t="n">
        <v>62</v>
      </c>
      <c r="C222" t="n">
        <v>1</v>
      </c>
      <c r="D222" s="3" t="n">
        <v>46031.38888888889</v>
      </c>
      <c r="E222" t="n">
        <v>4999</v>
      </c>
      <c r="F222" t="inlineStr">
        <is>
          <t>Wallet</t>
        </is>
      </c>
      <c r="G222" t="inlineStr">
        <is>
          <t>captured</t>
        </is>
      </c>
      <c r="H222" t="n">
        <v>63</v>
      </c>
      <c r="I222" s="4">
        <f>INT(D222)</f>
        <v/>
      </c>
      <c r="J222">
        <f>IFERROR(VLOOKUP(C222,Merchants!$A$2:$D$41,2,FALSE),"Merchant not found")</f>
        <v/>
      </c>
      <c r="K222">
        <f>IFERROR(VLOOKUP(C222,Merchants!$A$2:$D$41,3,FALSE),"Merchant not found")</f>
        <v/>
      </c>
      <c r="L222">
        <f>IFERROR(VLOOKUP(C222,Merchants!$A$2:$D$41,4,FALSE),"Merchant not found")</f>
        <v/>
      </c>
      <c r="M222" s="5">
        <f>HLOOKUP(F222,Fee_Reference!$B$1:$E$2,2,FALSE)</f>
        <v/>
      </c>
      <c r="N222">
        <f>SUMIFS($E$2:$E$548,$C$2:$C$548,C222,$I$2:$I$548,I222)</f>
        <v/>
      </c>
      <c r="O222">
        <f>IF(J222="Merchant not found","Merchant not found",IF(AND(N222&gt;5000,L222&lt;&gt;"East"),"High-Value Merchant Day","Normal Merchant Day"))</f>
        <v/>
      </c>
    </row>
    <row r="223">
      <c r="A223" t="inlineStr">
        <is>
          <t>TXN100221</t>
        </is>
      </c>
      <c r="B223" t="n">
        <v>67</v>
      </c>
      <c r="C223" t="n">
        <v>25</v>
      </c>
      <c r="D223" s="3" t="n">
        <v>46046.54930555556</v>
      </c>
      <c r="E223" t="n">
        <v>49</v>
      </c>
      <c r="F223" t="inlineStr">
        <is>
          <t>UPI</t>
        </is>
      </c>
      <c r="G223" t="inlineStr">
        <is>
          <t>captured</t>
        </is>
      </c>
      <c r="H223" t="n">
        <v>68</v>
      </c>
      <c r="I223" s="4">
        <f>INT(D223)</f>
        <v/>
      </c>
      <c r="J223">
        <f>IFERROR(VLOOKUP(C223,Merchants!$A$2:$D$41,2,FALSE),"Merchant not found")</f>
        <v/>
      </c>
      <c r="K223">
        <f>IFERROR(VLOOKUP(C223,Merchants!$A$2:$D$41,3,FALSE),"Merchant not found")</f>
        <v/>
      </c>
      <c r="L223">
        <f>IFERROR(VLOOKUP(C223,Merchants!$A$2:$D$41,4,FALSE),"Merchant not found")</f>
        <v/>
      </c>
      <c r="M223" s="5">
        <f>HLOOKUP(F223,Fee_Reference!$B$1:$E$2,2,FALSE)</f>
        <v/>
      </c>
      <c r="N223">
        <f>SUMIFS($E$2:$E$548,$C$2:$C$548,C223,$I$2:$I$548,I223)</f>
        <v/>
      </c>
      <c r="O223">
        <f>IF(J223="Merchant not found","Merchant not found",IF(AND(N223&gt;5000,L223&lt;&gt;"East"),"High-Value Merchant Day","Normal Merchant Day"))</f>
        <v/>
      </c>
    </row>
    <row r="224">
      <c r="A224" t="inlineStr">
        <is>
          <t>TXN100222</t>
        </is>
      </c>
      <c r="B224" t="n">
        <v>287</v>
      </c>
      <c r="C224" t="n">
        <v>23</v>
      </c>
      <c r="D224" s="3" t="n">
        <v>46045.31388888889</v>
      </c>
      <c r="E224" t="n">
        <v>49</v>
      </c>
      <c r="F224" t="inlineStr">
        <is>
          <t>UPI</t>
        </is>
      </c>
      <c r="G224" t="inlineStr">
        <is>
          <t>captured</t>
        </is>
      </c>
      <c r="H224" t="n">
        <v>9</v>
      </c>
      <c r="I224" s="4">
        <f>INT(D224)</f>
        <v/>
      </c>
      <c r="J224">
        <f>IFERROR(VLOOKUP(C224,Merchants!$A$2:$D$41,2,FALSE),"Merchant not found")</f>
        <v/>
      </c>
      <c r="K224">
        <f>IFERROR(VLOOKUP(C224,Merchants!$A$2:$D$41,3,FALSE),"Merchant not found")</f>
        <v/>
      </c>
      <c r="L224">
        <f>IFERROR(VLOOKUP(C224,Merchants!$A$2:$D$41,4,FALSE),"Merchant not found")</f>
        <v/>
      </c>
      <c r="M224" s="5">
        <f>HLOOKUP(F224,Fee_Reference!$B$1:$E$2,2,FALSE)</f>
        <v/>
      </c>
      <c r="N224">
        <f>SUMIFS($E$2:$E$548,$C$2:$C$548,C224,$I$2:$I$548,I224)</f>
        <v/>
      </c>
      <c r="O224">
        <f>IF(J224="Merchant not found","Merchant not found",IF(AND(N224&gt;5000,L224&lt;&gt;"East"),"High-Value Merchant Day","Normal Merchant Day"))</f>
        <v/>
      </c>
    </row>
    <row r="225">
      <c r="A225" t="inlineStr">
        <is>
          <t>TXN100223</t>
        </is>
      </c>
      <c r="B225" t="n">
        <v>224</v>
      </c>
      <c r="C225" t="n">
        <v>2</v>
      </c>
      <c r="D225" s="3" t="n">
        <v>46035.95972222222</v>
      </c>
      <c r="E225" t="n">
        <v>49</v>
      </c>
      <c r="F225" t="inlineStr">
        <is>
          <t>Card</t>
        </is>
      </c>
      <c r="G225" t="inlineStr">
        <is>
          <t>captured</t>
        </is>
      </c>
      <c r="H225" t="n">
        <v>58</v>
      </c>
      <c r="I225" s="4">
        <f>INT(D225)</f>
        <v/>
      </c>
      <c r="J225">
        <f>IFERROR(VLOOKUP(C225,Merchants!$A$2:$D$41,2,FALSE),"Merchant not found")</f>
        <v/>
      </c>
      <c r="K225">
        <f>IFERROR(VLOOKUP(C225,Merchants!$A$2:$D$41,3,FALSE),"Merchant not found")</f>
        <v/>
      </c>
      <c r="L225">
        <f>IFERROR(VLOOKUP(C225,Merchants!$A$2:$D$41,4,FALSE),"Merchant not found")</f>
        <v/>
      </c>
      <c r="M225" s="5">
        <f>HLOOKUP(F225,Fee_Reference!$B$1:$E$2,2,FALSE)</f>
        <v/>
      </c>
      <c r="N225">
        <f>SUMIFS($E$2:$E$548,$C$2:$C$548,C225,$I$2:$I$548,I225)</f>
        <v/>
      </c>
      <c r="O225">
        <f>IF(J225="Merchant not found","Merchant not found",IF(AND(N225&gt;5000,L225&lt;&gt;"East"),"High-Value Merchant Day","Normal Merchant Day"))</f>
        <v/>
      </c>
    </row>
    <row r="226">
      <c r="A226" t="inlineStr">
        <is>
          <t>TXN100224</t>
        </is>
      </c>
      <c r="B226" t="n">
        <v>161</v>
      </c>
      <c r="C226" t="n">
        <v>37</v>
      </c>
      <c r="D226" s="3" t="n">
        <v>46052.12152777778</v>
      </c>
      <c r="E226" t="n">
        <v>299</v>
      </c>
      <c r="F226" t="inlineStr">
        <is>
          <t>UPI</t>
        </is>
      </c>
      <c r="G226" t="inlineStr">
        <is>
          <t>captured</t>
        </is>
      </c>
      <c r="H226" t="n">
        <v>54</v>
      </c>
      <c r="I226" s="4">
        <f>INT(D226)</f>
        <v/>
      </c>
      <c r="J226">
        <f>IFERROR(VLOOKUP(C226,Merchants!$A$2:$D$41,2,FALSE),"Merchant not found")</f>
        <v/>
      </c>
      <c r="K226">
        <f>IFERROR(VLOOKUP(C226,Merchants!$A$2:$D$41,3,FALSE),"Merchant not found")</f>
        <v/>
      </c>
      <c r="L226">
        <f>IFERROR(VLOOKUP(C226,Merchants!$A$2:$D$41,4,FALSE),"Merchant not found")</f>
        <v/>
      </c>
      <c r="M226" s="5">
        <f>HLOOKUP(F226,Fee_Reference!$B$1:$E$2,2,FALSE)</f>
        <v/>
      </c>
      <c r="N226">
        <f>SUMIFS($E$2:$E$548,$C$2:$C$548,C226,$I$2:$I$548,I226)</f>
        <v/>
      </c>
      <c r="O226">
        <f>IF(J226="Merchant not found","Merchant not found",IF(AND(N226&gt;5000,L226&lt;&gt;"East"),"High-Value Merchant Day","Normal Merchant Day"))</f>
        <v/>
      </c>
    </row>
    <row r="227">
      <c r="A227" t="inlineStr">
        <is>
          <t>TXN100225</t>
        </is>
      </c>
      <c r="B227" t="n">
        <v>328</v>
      </c>
      <c r="C227" t="n">
        <v>27</v>
      </c>
      <c r="D227" s="3" t="n">
        <v>46041.53125</v>
      </c>
      <c r="E227" t="n">
        <v>49</v>
      </c>
      <c r="F227" t="inlineStr">
        <is>
          <t>UPI</t>
        </is>
      </c>
      <c r="G227" t="inlineStr">
        <is>
          <t>chargeback</t>
        </is>
      </c>
      <c r="H227" t="n">
        <v>37</v>
      </c>
      <c r="I227" s="4">
        <f>INT(D227)</f>
        <v/>
      </c>
      <c r="J227">
        <f>IFERROR(VLOOKUP(C227,Merchants!$A$2:$D$41,2,FALSE),"Merchant not found")</f>
        <v/>
      </c>
      <c r="K227">
        <f>IFERROR(VLOOKUP(C227,Merchants!$A$2:$D$41,3,FALSE),"Merchant not found")</f>
        <v/>
      </c>
      <c r="L227">
        <f>IFERROR(VLOOKUP(C227,Merchants!$A$2:$D$41,4,FALSE),"Merchant not found")</f>
        <v/>
      </c>
      <c r="M227" s="5">
        <f>HLOOKUP(F227,Fee_Reference!$B$1:$E$2,2,FALSE)</f>
        <v/>
      </c>
      <c r="N227">
        <f>SUMIFS($E$2:$E$548,$C$2:$C$548,C227,$I$2:$I$548,I227)</f>
        <v/>
      </c>
      <c r="O227">
        <f>IF(J227="Merchant not found","Merchant not found",IF(AND(N227&gt;5000,L227&lt;&gt;"East"),"High-Value Merchant Day","Normal Merchant Day"))</f>
        <v/>
      </c>
    </row>
    <row r="228">
      <c r="A228" t="inlineStr">
        <is>
          <t>TXN100226</t>
        </is>
      </c>
      <c r="B228" t="n">
        <v>167</v>
      </c>
      <c r="C228" t="n">
        <v>11</v>
      </c>
      <c r="D228" s="3" t="n">
        <v>46026.50069444445</v>
      </c>
      <c r="E228" t="n">
        <v>1499</v>
      </c>
      <c r="F228" t="inlineStr">
        <is>
          <t>Card</t>
        </is>
      </c>
      <c r="G228" t="inlineStr">
        <is>
          <t>failed</t>
        </is>
      </c>
      <c r="H228" t="n">
        <v>79</v>
      </c>
      <c r="I228" s="4">
        <f>INT(D228)</f>
        <v/>
      </c>
      <c r="J228">
        <f>IFERROR(VLOOKUP(C228,Merchants!$A$2:$D$41,2,FALSE),"Merchant not found")</f>
        <v/>
      </c>
      <c r="K228">
        <f>IFERROR(VLOOKUP(C228,Merchants!$A$2:$D$41,3,FALSE),"Merchant not found")</f>
        <v/>
      </c>
      <c r="L228">
        <f>IFERROR(VLOOKUP(C228,Merchants!$A$2:$D$41,4,FALSE),"Merchant not found")</f>
        <v/>
      </c>
      <c r="M228" s="5">
        <f>HLOOKUP(F228,Fee_Reference!$B$1:$E$2,2,FALSE)</f>
        <v/>
      </c>
      <c r="N228">
        <f>SUMIFS($E$2:$E$548,$C$2:$C$548,C228,$I$2:$I$548,I228)</f>
        <v/>
      </c>
      <c r="O228">
        <f>IF(J228="Merchant not found","Merchant not found",IF(AND(N228&gt;5000,L228&lt;&gt;"East"),"High-Value Merchant Day","Normal Merchant Day"))</f>
        <v/>
      </c>
    </row>
    <row r="229">
      <c r="A229" t="inlineStr">
        <is>
          <t>TXN100227</t>
        </is>
      </c>
      <c r="B229" t="n">
        <v>186</v>
      </c>
      <c r="C229" t="n">
        <v>6</v>
      </c>
      <c r="D229" s="3" t="n">
        <v>46037.95694444444</v>
      </c>
      <c r="E229" t="n">
        <v>49</v>
      </c>
      <c r="F229" t="inlineStr">
        <is>
          <t>Wallet</t>
        </is>
      </c>
      <c r="G229" t="inlineStr">
        <is>
          <t>captured</t>
        </is>
      </c>
      <c r="H229" t="n">
        <v>55</v>
      </c>
      <c r="I229" s="4">
        <f>INT(D229)</f>
        <v/>
      </c>
      <c r="J229">
        <f>IFERROR(VLOOKUP(C229,Merchants!$A$2:$D$41,2,FALSE),"Merchant not found")</f>
        <v/>
      </c>
      <c r="K229">
        <f>IFERROR(VLOOKUP(C229,Merchants!$A$2:$D$41,3,FALSE),"Merchant not found")</f>
        <v/>
      </c>
      <c r="L229">
        <f>IFERROR(VLOOKUP(C229,Merchants!$A$2:$D$41,4,FALSE),"Merchant not found")</f>
        <v/>
      </c>
      <c r="M229" s="5">
        <f>HLOOKUP(F229,Fee_Reference!$B$1:$E$2,2,FALSE)</f>
        <v/>
      </c>
      <c r="N229">
        <f>SUMIFS($E$2:$E$548,$C$2:$C$548,C229,$I$2:$I$548,I229)</f>
        <v/>
      </c>
      <c r="O229">
        <f>IF(J229="Merchant not found","Merchant not found",IF(AND(N229&gt;5000,L229&lt;&gt;"East"),"High-Value Merchant Day","Normal Merchant Day"))</f>
        <v/>
      </c>
    </row>
    <row r="230">
      <c r="A230" t="inlineStr">
        <is>
          <t>TXN100228</t>
        </is>
      </c>
      <c r="B230" t="n">
        <v>224</v>
      </c>
      <c r="C230" t="n">
        <v>38</v>
      </c>
      <c r="D230" s="3" t="n">
        <v>46050.13541666666</v>
      </c>
      <c r="E230" t="n">
        <v>299</v>
      </c>
      <c r="F230" t="inlineStr">
        <is>
          <t>Wallet</t>
        </is>
      </c>
      <c r="G230" t="inlineStr">
        <is>
          <t>failed</t>
        </is>
      </c>
      <c r="H230" t="n">
        <v>51</v>
      </c>
      <c r="I230" s="4">
        <f>INT(D230)</f>
        <v/>
      </c>
      <c r="J230">
        <f>IFERROR(VLOOKUP(C230,Merchants!$A$2:$D$41,2,FALSE),"Merchant not found")</f>
        <v/>
      </c>
      <c r="K230">
        <f>IFERROR(VLOOKUP(C230,Merchants!$A$2:$D$41,3,FALSE),"Merchant not found")</f>
        <v/>
      </c>
      <c r="L230">
        <f>IFERROR(VLOOKUP(C230,Merchants!$A$2:$D$41,4,FALSE),"Merchant not found")</f>
        <v/>
      </c>
      <c r="M230" s="5">
        <f>HLOOKUP(F230,Fee_Reference!$B$1:$E$2,2,FALSE)</f>
        <v/>
      </c>
      <c r="N230">
        <f>SUMIFS($E$2:$E$548,$C$2:$C$548,C230,$I$2:$I$548,I230)</f>
        <v/>
      </c>
      <c r="O230">
        <f>IF(J230="Merchant not found","Merchant not found",IF(AND(N230&gt;5000,L230&lt;&gt;"East"),"High-Value Merchant Day","Normal Merchant Day"))</f>
        <v/>
      </c>
    </row>
    <row r="231">
      <c r="A231" t="inlineStr">
        <is>
          <t>TXN100229</t>
        </is>
      </c>
      <c r="B231" t="n">
        <v>159</v>
      </c>
      <c r="C231" t="n">
        <v>22</v>
      </c>
      <c r="D231" s="3" t="n">
        <v>46039.10069444445</v>
      </c>
      <c r="E231" t="n">
        <v>799</v>
      </c>
      <c r="F231" t="inlineStr">
        <is>
          <t>UPI</t>
        </is>
      </c>
      <c r="G231" t="inlineStr">
        <is>
          <t>captured</t>
        </is>
      </c>
      <c r="H231" t="n">
        <v>28</v>
      </c>
      <c r="I231" s="4">
        <f>INT(D231)</f>
        <v/>
      </c>
      <c r="J231">
        <f>IFERROR(VLOOKUP(C231,Merchants!$A$2:$D$41,2,FALSE),"Merchant not found")</f>
        <v/>
      </c>
      <c r="K231">
        <f>IFERROR(VLOOKUP(C231,Merchants!$A$2:$D$41,3,FALSE),"Merchant not found")</f>
        <v/>
      </c>
      <c r="L231">
        <f>IFERROR(VLOOKUP(C231,Merchants!$A$2:$D$41,4,FALSE),"Merchant not found")</f>
        <v/>
      </c>
      <c r="M231" s="5">
        <f>HLOOKUP(F231,Fee_Reference!$B$1:$E$2,2,FALSE)</f>
        <v/>
      </c>
      <c r="N231">
        <f>SUMIFS($E$2:$E$548,$C$2:$C$548,C231,$I$2:$I$548,I231)</f>
        <v/>
      </c>
      <c r="O231">
        <f>IF(J231="Merchant not found","Merchant not found",IF(AND(N231&gt;5000,L231&lt;&gt;"East"),"High-Value Merchant Day","Normal Merchant Day"))</f>
        <v/>
      </c>
    </row>
    <row r="232">
      <c r="A232" t="inlineStr">
        <is>
          <t>TXN100230</t>
        </is>
      </c>
      <c r="B232" t="n">
        <v>262</v>
      </c>
      <c r="C232" t="n">
        <v>8</v>
      </c>
      <c r="D232" s="3" t="n">
        <v>46033.21111111111</v>
      </c>
      <c r="E232" t="n">
        <v>149</v>
      </c>
      <c r="F232" t="inlineStr">
        <is>
          <t>UPI</t>
        </is>
      </c>
      <c r="G232" t="inlineStr">
        <is>
          <t>captured</t>
        </is>
      </c>
      <c r="H232" t="n">
        <v>67</v>
      </c>
      <c r="I232" s="4">
        <f>INT(D232)</f>
        <v/>
      </c>
      <c r="J232">
        <f>IFERROR(VLOOKUP(C232,Merchants!$A$2:$D$41,2,FALSE),"Merchant not found")</f>
        <v/>
      </c>
      <c r="K232">
        <f>IFERROR(VLOOKUP(C232,Merchants!$A$2:$D$41,3,FALSE),"Merchant not found")</f>
        <v/>
      </c>
      <c r="L232">
        <f>IFERROR(VLOOKUP(C232,Merchants!$A$2:$D$41,4,FALSE),"Merchant not found")</f>
        <v/>
      </c>
      <c r="M232" s="5">
        <f>HLOOKUP(F232,Fee_Reference!$B$1:$E$2,2,FALSE)</f>
        <v/>
      </c>
      <c r="N232">
        <f>SUMIFS($E$2:$E$548,$C$2:$C$548,C232,$I$2:$I$548,I232)</f>
        <v/>
      </c>
      <c r="O232">
        <f>IF(J232="Merchant not found","Merchant not found",IF(AND(N232&gt;5000,L232&lt;&gt;"East"),"High-Value Merchant Day","Normal Merchant Day"))</f>
        <v/>
      </c>
    </row>
    <row r="233">
      <c r="A233" t="inlineStr">
        <is>
          <t>TXN100231</t>
        </is>
      </c>
      <c r="B233" t="n">
        <v>179</v>
      </c>
      <c r="C233" t="n">
        <v>23</v>
      </c>
      <c r="D233" s="3" t="n">
        <v>46039.28958333333</v>
      </c>
      <c r="E233" t="n">
        <v>49</v>
      </c>
      <c r="F233" t="inlineStr">
        <is>
          <t>Wallet</t>
        </is>
      </c>
      <c r="G233" t="inlineStr">
        <is>
          <t>captured</t>
        </is>
      </c>
      <c r="H233" t="n">
        <v>93</v>
      </c>
      <c r="I233" s="4">
        <f>INT(D233)</f>
        <v/>
      </c>
      <c r="J233">
        <f>IFERROR(VLOOKUP(C233,Merchants!$A$2:$D$41,2,FALSE),"Merchant not found")</f>
        <v/>
      </c>
      <c r="K233">
        <f>IFERROR(VLOOKUP(C233,Merchants!$A$2:$D$41,3,FALSE),"Merchant not found")</f>
        <v/>
      </c>
      <c r="L233">
        <f>IFERROR(VLOOKUP(C233,Merchants!$A$2:$D$41,4,FALSE),"Merchant not found")</f>
        <v/>
      </c>
      <c r="M233" s="5">
        <f>HLOOKUP(F233,Fee_Reference!$B$1:$E$2,2,FALSE)</f>
        <v/>
      </c>
      <c r="N233">
        <f>SUMIFS($E$2:$E$548,$C$2:$C$548,C233,$I$2:$I$548,I233)</f>
        <v/>
      </c>
      <c r="O233">
        <f>IF(J233="Merchant not found","Merchant not found",IF(AND(N233&gt;5000,L233&lt;&gt;"East"),"High-Value Merchant Day","Normal Merchant Day"))</f>
        <v/>
      </c>
    </row>
    <row r="234">
      <c r="A234" t="inlineStr">
        <is>
          <t>TXN100232</t>
        </is>
      </c>
      <c r="B234" t="n">
        <v>76</v>
      </c>
      <c r="C234" t="n">
        <v>16</v>
      </c>
      <c r="D234" s="3" t="n">
        <v>46049.86944444444</v>
      </c>
      <c r="E234" t="n">
        <v>299</v>
      </c>
      <c r="F234" t="inlineStr">
        <is>
          <t>UPI</t>
        </is>
      </c>
      <c r="G234" t="inlineStr">
        <is>
          <t>captured</t>
        </is>
      </c>
      <c r="H234" t="n">
        <v>13</v>
      </c>
      <c r="I234" s="4">
        <f>INT(D234)</f>
        <v/>
      </c>
      <c r="J234">
        <f>IFERROR(VLOOKUP(C234,Merchants!$A$2:$D$41,2,FALSE),"Merchant not found")</f>
        <v/>
      </c>
      <c r="K234">
        <f>IFERROR(VLOOKUP(C234,Merchants!$A$2:$D$41,3,FALSE),"Merchant not found")</f>
        <v/>
      </c>
      <c r="L234">
        <f>IFERROR(VLOOKUP(C234,Merchants!$A$2:$D$41,4,FALSE),"Merchant not found")</f>
        <v/>
      </c>
      <c r="M234" s="5">
        <f>HLOOKUP(F234,Fee_Reference!$B$1:$E$2,2,FALSE)</f>
        <v/>
      </c>
      <c r="N234">
        <f>SUMIFS($E$2:$E$548,$C$2:$C$548,C234,$I$2:$I$548,I234)</f>
        <v/>
      </c>
      <c r="O234">
        <f>IF(J234="Merchant not found","Merchant not found",IF(AND(N234&gt;5000,L234&lt;&gt;"East"),"High-Value Merchant Day","Normal Merchant Day"))</f>
        <v/>
      </c>
    </row>
    <row r="235">
      <c r="A235" t="inlineStr">
        <is>
          <t>TXN100233</t>
        </is>
      </c>
      <c r="B235" t="n">
        <v>89</v>
      </c>
      <c r="C235" t="n">
        <v>39</v>
      </c>
      <c r="D235" s="3" t="n">
        <v>46027.34166666667</v>
      </c>
      <c r="E235" t="n">
        <v>299</v>
      </c>
      <c r="F235" t="inlineStr">
        <is>
          <t>UPI</t>
        </is>
      </c>
      <c r="G235" t="inlineStr">
        <is>
          <t>captured</t>
        </is>
      </c>
      <c r="H235" t="n">
        <v>19</v>
      </c>
      <c r="I235" s="4">
        <f>INT(D235)</f>
        <v/>
      </c>
      <c r="J235">
        <f>IFERROR(VLOOKUP(C235,Merchants!$A$2:$D$41,2,FALSE),"Merchant not found")</f>
        <v/>
      </c>
      <c r="K235">
        <f>IFERROR(VLOOKUP(C235,Merchants!$A$2:$D$41,3,FALSE),"Merchant not found")</f>
        <v/>
      </c>
      <c r="L235">
        <f>IFERROR(VLOOKUP(C235,Merchants!$A$2:$D$41,4,FALSE),"Merchant not found")</f>
        <v/>
      </c>
      <c r="M235" s="5">
        <f>HLOOKUP(F235,Fee_Reference!$B$1:$E$2,2,FALSE)</f>
        <v/>
      </c>
      <c r="N235">
        <f>SUMIFS($E$2:$E$548,$C$2:$C$548,C235,$I$2:$I$548,I235)</f>
        <v/>
      </c>
      <c r="O235">
        <f>IF(J235="Merchant not found","Merchant not found",IF(AND(N235&gt;5000,L235&lt;&gt;"East"),"High-Value Merchant Day","Normal Merchant Day"))</f>
        <v/>
      </c>
    </row>
    <row r="236">
      <c r="A236" t="inlineStr">
        <is>
          <t>TXN100234</t>
        </is>
      </c>
      <c r="B236" t="n">
        <v>91</v>
      </c>
      <c r="C236" t="n">
        <v>32</v>
      </c>
      <c r="D236" s="3" t="n">
        <v>46047.83611111111</v>
      </c>
      <c r="E236" t="n">
        <v>49</v>
      </c>
      <c r="F236" t="inlineStr">
        <is>
          <t>UPI</t>
        </is>
      </c>
      <c r="G236" t="inlineStr">
        <is>
          <t>captured</t>
        </is>
      </c>
      <c r="H236" t="n">
        <v>59</v>
      </c>
      <c r="I236" s="4">
        <f>INT(D236)</f>
        <v/>
      </c>
      <c r="J236">
        <f>IFERROR(VLOOKUP(C236,Merchants!$A$2:$D$41,2,FALSE),"Merchant not found")</f>
        <v/>
      </c>
      <c r="K236">
        <f>IFERROR(VLOOKUP(C236,Merchants!$A$2:$D$41,3,FALSE),"Merchant not found")</f>
        <v/>
      </c>
      <c r="L236">
        <f>IFERROR(VLOOKUP(C236,Merchants!$A$2:$D$41,4,FALSE),"Merchant not found")</f>
        <v/>
      </c>
      <c r="M236" s="5">
        <f>HLOOKUP(F236,Fee_Reference!$B$1:$E$2,2,FALSE)</f>
        <v/>
      </c>
      <c r="N236">
        <f>SUMIFS($E$2:$E$548,$C$2:$C$548,C236,$I$2:$I$548,I236)</f>
        <v/>
      </c>
      <c r="O236">
        <f>IF(J236="Merchant not found","Merchant not found",IF(AND(N236&gt;5000,L236&lt;&gt;"East"),"High-Value Merchant Day","Normal Merchant Day"))</f>
        <v/>
      </c>
    </row>
    <row r="237">
      <c r="A237" t="inlineStr">
        <is>
          <t>TXN100235</t>
        </is>
      </c>
      <c r="B237" t="n">
        <v>297</v>
      </c>
      <c r="C237" t="n">
        <v>29</v>
      </c>
      <c r="D237" s="3" t="n">
        <v>46047.78333333333</v>
      </c>
      <c r="E237" t="n">
        <v>99</v>
      </c>
      <c r="F237" t="inlineStr">
        <is>
          <t>Card</t>
        </is>
      </c>
      <c r="G237" t="inlineStr">
        <is>
          <t>chargeback</t>
        </is>
      </c>
      <c r="H237" t="n">
        <v>87</v>
      </c>
      <c r="I237" s="4">
        <f>INT(D237)</f>
        <v/>
      </c>
      <c r="J237">
        <f>IFERROR(VLOOKUP(C237,Merchants!$A$2:$D$41,2,FALSE),"Merchant not found")</f>
        <v/>
      </c>
      <c r="K237">
        <f>IFERROR(VLOOKUP(C237,Merchants!$A$2:$D$41,3,FALSE),"Merchant not found")</f>
        <v/>
      </c>
      <c r="L237">
        <f>IFERROR(VLOOKUP(C237,Merchants!$A$2:$D$41,4,FALSE),"Merchant not found")</f>
        <v/>
      </c>
      <c r="M237" s="5">
        <f>HLOOKUP(F237,Fee_Reference!$B$1:$E$2,2,FALSE)</f>
        <v/>
      </c>
      <c r="N237">
        <f>SUMIFS($E$2:$E$548,$C$2:$C$548,C237,$I$2:$I$548,I237)</f>
        <v/>
      </c>
      <c r="O237">
        <f>IF(J237="Merchant not found","Merchant not found",IF(AND(N237&gt;5000,L237&lt;&gt;"East"),"High-Value Merchant Day","Normal Merchant Day"))</f>
        <v/>
      </c>
    </row>
    <row r="238">
      <c r="A238" t="inlineStr">
        <is>
          <t>TXN100236</t>
        </is>
      </c>
      <c r="B238" t="n">
        <v>326</v>
      </c>
      <c r="C238" t="n">
        <v>40</v>
      </c>
      <c r="D238" s="3" t="n">
        <v>46052.77847222222</v>
      </c>
      <c r="E238" t="n">
        <v>499</v>
      </c>
      <c r="F238" t="inlineStr">
        <is>
          <t>Card</t>
        </is>
      </c>
      <c r="G238" t="inlineStr">
        <is>
          <t>captured</t>
        </is>
      </c>
      <c r="H238" t="n">
        <v>41</v>
      </c>
      <c r="I238" s="4">
        <f>INT(D238)</f>
        <v/>
      </c>
      <c r="J238">
        <f>IFERROR(VLOOKUP(C238,Merchants!$A$2:$D$41,2,FALSE),"Merchant not found")</f>
        <v/>
      </c>
      <c r="K238">
        <f>IFERROR(VLOOKUP(C238,Merchants!$A$2:$D$41,3,FALSE),"Merchant not found")</f>
        <v/>
      </c>
      <c r="L238">
        <f>IFERROR(VLOOKUP(C238,Merchants!$A$2:$D$41,4,FALSE),"Merchant not found")</f>
        <v/>
      </c>
      <c r="M238" s="5">
        <f>HLOOKUP(F238,Fee_Reference!$B$1:$E$2,2,FALSE)</f>
        <v/>
      </c>
      <c r="N238">
        <f>SUMIFS($E$2:$E$548,$C$2:$C$548,C238,$I$2:$I$548,I238)</f>
        <v/>
      </c>
      <c r="O238">
        <f>IF(J238="Merchant not found","Merchant not found",IF(AND(N238&gt;5000,L238&lt;&gt;"East"),"High-Value Merchant Day","Normal Merchant Day"))</f>
        <v/>
      </c>
    </row>
    <row r="239">
      <c r="A239" t="inlineStr">
        <is>
          <t>TXN100237</t>
        </is>
      </c>
      <c r="B239" t="n">
        <v>78</v>
      </c>
      <c r="C239" t="n">
        <v>29</v>
      </c>
      <c r="D239" s="3" t="n">
        <v>46050.84722222222</v>
      </c>
      <c r="E239" t="n">
        <v>149</v>
      </c>
      <c r="F239" t="inlineStr">
        <is>
          <t>UPI</t>
        </is>
      </c>
      <c r="G239" t="inlineStr">
        <is>
          <t>captured</t>
        </is>
      </c>
      <c r="H239" t="n">
        <v>8</v>
      </c>
      <c r="I239" s="4">
        <f>INT(D239)</f>
        <v/>
      </c>
      <c r="J239">
        <f>IFERROR(VLOOKUP(C239,Merchants!$A$2:$D$41,2,FALSE),"Merchant not found")</f>
        <v/>
      </c>
      <c r="K239">
        <f>IFERROR(VLOOKUP(C239,Merchants!$A$2:$D$41,3,FALSE),"Merchant not found")</f>
        <v/>
      </c>
      <c r="L239">
        <f>IFERROR(VLOOKUP(C239,Merchants!$A$2:$D$41,4,FALSE),"Merchant not found")</f>
        <v/>
      </c>
      <c r="M239" s="5">
        <f>HLOOKUP(F239,Fee_Reference!$B$1:$E$2,2,FALSE)</f>
        <v/>
      </c>
      <c r="N239">
        <f>SUMIFS($E$2:$E$548,$C$2:$C$548,C239,$I$2:$I$548,I239)</f>
        <v/>
      </c>
      <c r="O239">
        <f>IF(J239="Merchant not found","Merchant not found",IF(AND(N239&gt;5000,L239&lt;&gt;"East"),"High-Value Merchant Day","Normal Merchant Day"))</f>
        <v/>
      </c>
    </row>
    <row r="240">
      <c r="A240" t="inlineStr">
        <is>
          <t>TXN100238</t>
        </is>
      </c>
      <c r="B240" t="n">
        <v>156</v>
      </c>
      <c r="C240" t="n">
        <v>18</v>
      </c>
      <c r="D240" s="3" t="n">
        <v>46038.61111111111</v>
      </c>
      <c r="E240" t="n">
        <v>2999</v>
      </c>
      <c r="F240" t="inlineStr">
        <is>
          <t>Card</t>
        </is>
      </c>
      <c r="G240" t="inlineStr">
        <is>
          <t>captured</t>
        </is>
      </c>
      <c r="H240" t="n">
        <v>75</v>
      </c>
      <c r="I240" s="4">
        <f>INT(D240)</f>
        <v/>
      </c>
      <c r="J240">
        <f>IFERROR(VLOOKUP(C240,Merchants!$A$2:$D$41,2,FALSE),"Merchant not found")</f>
        <v/>
      </c>
      <c r="K240">
        <f>IFERROR(VLOOKUP(C240,Merchants!$A$2:$D$41,3,FALSE),"Merchant not found")</f>
        <v/>
      </c>
      <c r="L240">
        <f>IFERROR(VLOOKUP(C240,Merchants!$A$2:$D$41,4,FALSE),"Merchant not found")</f>
        <v/>
      </c>
      <c r="M240" s="5">
        <f>HLOOKUP(F240,Fee_Reference!$B$1:$E$2,2,FALSE)</f>
        <v/>
      </c>
      <c r="N240">
        <f>SUMIFS($E$2:$E$548,$C$2:$C$548,C240,$I$2:$I$548,I240)</f>
        <v/>
      </c>
      <c r="O240">
        <f>IF(J240="Merchant not found","Merchant not found",IF(AND(N240&gt;5000,L240&lt;&gt;"East"),"High-Value Merchant Day","Normal Merchant Day"))</f>
        <v/>
      </c>
    </row>
    <row r="241">
      <c r="A241" t="inlineStr">
        <is>
          <t>TXN100239</t>
        </is>
      </c>
      <c r="B241" t="n">
        <v>38</v>
      </c>
      <c r="C241" t="n">
        <v>20</v>
      </c>
      <c r="D241" s="3" t="n">
        <v>46024.48055555556</v>
      </c>
      <c r="E241" t="n">
        <v>49</v>
      </c>
      <c r="F241" t="inlineStr">
        <is>
          <t>Wallet</t>
        </is>
      </c>
      <c r="G241" t="inlineStr">
        <is>
          <t>failed</t>
        </is>
      </c>
      <c r="H241" t="n">
        <v>59</v>
      </c>
      <c r="I241" s="4">
        <f>INT(D241)</f>
        <v/>
      </c>
      <c r="J241">
        <f>IFERROR(VLOOKUP(C241,Merchants!$A$2:$D$41,2,FALSE),"Merchant not found")</f>
        <v/>
      </c>
      <c r="K241">
        <f>IFERROR(VLOOKUP(C241,Merchants!$A$2:$D$41,3,FALSE),"Merchant not found")</f>
        <v/>
      </c>
      <c r="L241">
        <f>IFERROR(VLOOKUP(C241,Merchants!$A$2:$D$41,4,FALSE),"Merchant not found")</f>
        <v/>
      </c>
      <c r="M241" s="5">
        <f>HLOOKUP(F241,Fee_Reference!$B$1:$E$2,2,FALSE)</f>
        <v/>
      </c>
      <c r="N241">
        <f>SUMIFS($E$2:$E$548,$C$2:$C$548,C241,$I$2:$I$548,I241)</f>
        <v/>
      </c>
      <c r="O241">
        <f>IF(J241="Merchant not found","Merchant not found",IF(AND(N241&gt;5000,L241&lt;&gt;"East"),"High-Value Merchant Day","Normal Merchant Day"))</f>
        <v/>
      </c>
    </row>
    <row r="242">
      <c r="A242" t="inlineStr">
        <is>
          <t>TXN100240</t>
        </is>
      </c>
      <c r="B242" t="n">
        <v>189</v>
      </c>
      <c r="C242" t="n">
        <v>19</v>
      </c>
      <c r="D242" s="3" t="n">
        <v>46037.04375</v>
      </c>
      <c r="E242" t="n">
        <v>99</v>
      </c>
      <c r="F242" t="inlineStr">
        <is>
          <t>UPI</t>
        </is>
      </c>
      <c r="G242" t="inlineStr">
        <is>
          <t>failed</t>
        </is>
      </c>
      <c r="H242" t="n">
        <v>9</v>
      </c>
      <c r="I242" s="4">
        <f>INT(D242)</f>
        <v/>
      </c>
      <c r="J242">
        <f>IFERROR(VLOOKUP(C242,Merchants!$A$2:$D$41,2,FALSE),"Merchant not found")</f>
        <v/>
      </c>
      <c r="K242">
        <f>IFERROR(VLOOKUP(C242,Merchants!$A$2:$D$41,3,FALSE),"Merchant not found")</f>
        <v/>
      </c>
      <c r="L242">
        <f>IFERROR(VLOOKUP(C242,Merchants!$A$2:$D$41,4,FALSE),"Merchant not found")</f>
        <v/>
      </c>
      <c r="M242" s="5">
        <f>HLOOKUP(F242,Fee_Reference!$B$1:$E$2,2,FALSE)</f>
        <v/>
      </c>
      <c r="N242">
        <f>SUMIFS($E$2:$E$548,$C$2:$C$548,C242,$I$2:$I$548,I242)</f>
        <v/>
      </c>
      <c r="O242">
        <f>IF(J242="Merchant not found","Merchant not found",IF(AND(N242&gt;5000,L242&lt;&gt;"East"),"High-Value Merchant Day","Normal Merchant Day"))</f>
        <v/>
      </c>
    </row>
    <row r="243">
      <c r="A243" t="inlineStr">
        <is>
          <t>TXN100241</t>
        </is>
      </c>
      <c r="B243" t="n">
        <v>305</v>
      </c>
      <c r="C243" t="n">
        <v>33</v>
      </c>
      <c r="D243" s="3" t="n">
        <v>46043.11041666667</v>
      </c>
      <c r="E243" t="n">
        <v>299</v>
      </c>
      <c r="F243" t="inlineStr">
        <is>
          <t>Card</t>
        </is>
      </c>
      <c r="G243" t="inlineStr">
        <is>
          <t>captured</t>
        </is>
      </c>
      <c r="H243" t="n">
        <v>49</v>
      </c>
      <c r="I243" s="4">
        <f>INT(D243)</f>
        <v/>
      </c>
      <c r="J243">
        <f>IFERROR(VLOOKUP(C243,Merchants!$A$2:$D$41,2,FALSE),"Merchant not found")</f>
        <v/>
      </c>
      <c r="K243">
        <f>IFERROR(VLOOKUP(C243,Merchants!$A$2:$D$41,3,FALSE),"Merchant not found")</f>
        <v/>
      </c>
      <c r="L243">
        <f>IFERROR(VLOOKUP(C243,Merchants!$A$2:$D$41,4,FALSE),"Merchant not found")</f>
        <v/>
      </c>
      <c r="M243" s="5">
        <f>HLOOKUP(F243,Fee_Reference!$B$1:$E$2,2,FALSE)</f>
        <v/>
      </c>
      <c r="N243">
        <f>SUMIFS($E$2:$E$548,$C$2:$C$548,C243,$I$2:$I$548,I243)</f>
        <v/>
      </c>
      <c r="O243">
        <f>IF(J243="Merchant not found","Merchant not found",IF(AND(N243&gt;5000,L243&lt;&gt;"East"),"High-Value Merchant Day","Normal Merchant Day"))</f>
        <v/>
      </c>
    </row>
    <row r="244">
      <c r="A244" t="inlineStr">
        <is>
          <t>TXN100242</t>
        </is>
      </c>
      <c r="B244" t="n">
        <v>22</v>
      </c>
      <c r="C244" t="n">
        <v>29</v>
      </c>
      <c r="D244" s="3" t="n">
        <v>46037.77430555555</v>
      </c>
      <c r="E244" t="n">
        <v>799</v>
      </c>
      <c r="F244" t="inlineStr">
        <is>
          <t>UPI</t>
        </is>
      </c>
      <c r="G244" t="inlineStr">
        <is>
          <t>captured</t>
        </is>
      </c>
      <c r="H244" t="n">
        <v>73</v>
      </c>
      <c r="I244" s="4">
        <f>INT(D244)</f>
        <v/>
      </c>
      <c r="J244">
        <f>IFERROR(VLOOKUP(C244,Merchants!$A$2:$D$41,2,FALSE),"Merchant not found")</f>
        <v/>
      </c>
      <c r="K244">
        <f>IFERROR(VLOOKUP(C244,Merchants!$A$2:$D$41,3,FALSE),"Merchant not found")</f>
        <v/>
      </c>
      <c r="L244">
        <f>IFERROR(VLOOKUP(C244,Merchants!$A$2:$D$41,4,FALSE),"Merchant not found")</f>
        <v/>
      </c>
      <c r="M244" s="5">
        <f>HLOOKUP(F244,Fee_Reference!$B$1:$E$2,2,FALSE)</f>
        <v/>
      </c>
      <c r="N244">
        <f>SUMIFS($E$2:$E$548,$C$2:$C$548,C244,$I$2:$I$548,I244)</f>
        <v/>
      </c>
      <c r="O244">
        <f>IF(J244="Merchant not found","Merchant not found",IF(AND(N244&gt;5000,L244&lt;&gt;"East"),"High-Value Merchant Day","Normal Merchant Day"))</f>
        <v/>
      </c>
    </row>
    <row r="245">
      <c r="A245" t="inlineStr">
        <is>
          <t>TXN100243</t>
        </is>
      </c>
      <c r="B245" t="n">
        <v>310</v>
      </c>
      <c r="C245" t="n">
        <v>31</v>
      </c>
      <c r="D245" s="3" t="n">
        <v>46043.26388888889</v>
      </c>
      <c r="E245" t="n">
        <v>49</v>
      </c>
      <c r="F245" t="inlineStr">
        <is>
          <t>Card</t>
        </is>
      </c>
      <c r="G245" t="inlineStr">
        <is>
          <t>captured</t>
        </is>
      </c>
      <c r="H245" t="n">
        <v>64</v>
      </c>
      <c r="I245" s="4">
        <f>INT(D245)</f>
        <v/>
      </c>
      <c r="J245">
        <f>IFERROR(VLOOKUP(C245,Merchants!$A$2:$D$41,2,FALSE),"Merchant not found")</f>
        <v/>
      </c>
      <c r="K245">
        <f>IFERROR(VLOOKUP(C245,Merchants!$A$2:$D$41,3,FALSE),"Merchant not found")</f>
        <v/>
      </c>
      <c r="L245">
        <f>IFERROR(VLOOKUP(C245,Merchants!$A$2:$D$41,4,FALSE),"Merchant not found")</f>
        <v/>
      </c>
      <c r="M245" s="5">
        <f>HLOOKUP(F245,Fee_Reference!$B$1:$E$2,2,FALSE)</f>
        <v/>
      </c>
      <c r="N245">
        <f>SUMIFS($E$2:$E$548,$C$2:$C$548,C245,$I$2:$I$548,I245)</f>
        <v/>
      </c>
      <c r="O245">
        <f>IF(J245="Merchant not found","Merchant not found",IF(AND(N245&gt;5000,L245&lt;&gt;"East"),"High-Value Merchant Day","Normal Merchant Day"))</f>
        <v/>
      </c>
    </row>
    <row r="246">
      <c r="A246" t="inlineStr">
        <is>
          <t>TXN100244</t>
        </is>
      </c>
      <c r="B246" t="n">
        <v>53</v>
      </c>
      <c r="C246" t="n">
        <v>22</v>
      </c>
      <c r="D246" s="3" t="n">
        <v>46027.06111111111</v>
      </c>
      <c r="E246" t="n">
        <v>299</v>
      </c>
      <c r="F246" t="inlineStr">
        <is>
          <t>UPI</t>
        </is>
      </c>
      <c r="G246" t="inlineStr">
        <is>
          <t>captured</t>
        </is>
      </c>
      <c r="H246" t="n">
        <v>91</v>
      </c>
      <c r="I246" s="4">
        <f>INT(D246)</f>
        <v/>
      </c>
      <c r="J246">
        <f>IFERROR(VLOOKUP(C246,Merchants!$A$2:$D$41,2,FALSE),"Merchant not found")</f>
        <v/>
      </c>
      <c r="K246">
        <f>IFERROR(VLOOKUP(C246,Merchants!$A$2:$D$41,3,FALSE),"Merchant not found")</f>
        <v/>
      </c>
      <c r="L246">
        <f>IFERROR(VLOOKUP(C246,Merchants!$A$2:$D$41,4,FALSE),"Merchant not found")</f>
        <v/>
      </c>
      <c r="M246" s="5">
        <f>HLOOKUP(F246,Fee_Reference!$B$1:$E$2,2,FALSE)</f>
        <v/>
      </c>
      <c r="N246">
        <f>SUMIFS($E$2:$E$548,$C$2:$C$548,C246,$I$2:$I$548,I246)</f>
        <v/>
      </c>
      <c r="O246">
        <f>IF(J246="Merchant not found","Merchant not found",IF(AND(N246&gt;5000,L246&lt;&gt;"East"),"High-Value Merchant Day","Normal Merchant Day"))</f>
        <v/>
      </c>
    </row>
    <row r="247">
      <c r="A247" t="inlineStr">
        <is>
          <t>TXN100245</t>
        </is>
      </c>
      <c r="B247" t="n">
        <v>89</v>
      </c>
      <c r="C247" t="n">
        <v>3</v>
      </c>
      <c r="D247" s="3" t="n">
        <v>46025.69513888889</v>
      </c>
      <c r="E247" t="n">
        <v>149</v>
      </c>
      <c r="F247" t="inlineStr">
        <is>
          <t>Card</t>
        </is>
      </c>
      <c r="G247" t="inlineStr">
        <is>
          <t>captured</t>
        </is>
      </c>
      <c r="H247" t="n">
        <v>31</v>
      </c>
      <c r="I247" s="4">
        <f>INT(D247)</f>
        <v/>
      </c>
      <c r="J247">
        <f>IFERROR(VLOOKUP(C247,Merchants!$A$2:$D$41,2,FALSE),"Merchant not found")</f>
        <v/>
      </c>
      <c r="K247">
        <f>IFERROR(VLOOKUP(C247,Merchants!$A$2:$D$41,3,FALSE),"Merchant not found")</f>
        <v/>
      </c>
      <c r="L247">
        <f>IFERROR(VLOOKUP(C247,Merchants!$A$2:$D$41,4,FALSE),"Merchant not found")</f>
        <v/>
      </c>
      <c r="M247" s="5">
        <f>HLOOKUP(F247,Fee_Reference!$B$1:$E$2,2,FALSE)</f>
        <v/>
      </c>
      <c r="N247">
        <f>SUMIFS($E$2:$E$548,$C$2:$C$548,C247,$I$2:$I$548,I247)</f>
        <v/>
      </c>
      <c r="O247">
        <f>IF(J247="Merchant not found","Merchant not found",IF(AND(N247&gt;5000,L247&lt;&gt;"East"),"High-Value Merchant Day","Normal Merchant Day"))</f>
        <v/>
      </c>
    </row>
    <row r="248">
      <c r="A248" t="inlineStr">
        <is>
          <t>TXN100246</t>
        </is>
      </c>
      <c r="B248" t="n">
        <v>269</v>
      </c>
      <c r="C248" t="n">
        <v>34</v>
      </c>
      <c r="D248" s="3" t="n">
        <v>46045.60277777778</v>
      </c>
      <c r="E248" t="n">
        <v>149</v>
      </c>
      <c r="F248" t="inlineStr">
        <is>
          <t>UPI</t>
        </is>
      </c>
      <c r="G248" t="inlineStr">
        <is>
          <t>captured</t>
        </is>
      </c>
      <c r="H248" t="n">
        <v>78</v>
      </c>
      <c r="I248" s="4">
        <f>INT(D248)</f>
        <v/>
      </c>
      <c r="J248">
        <f>IFERROR(VLOOKUP(C248,Merchants!$A$2:$D$41,2,FALSE),"Merchant not found")</f>
        <v/>
      </c>
      <c r="K248">
        <f>IFERROR(VLOOKUP(C248,Merchants!$A$2:$D$41,3,FALSE),"Merchant not found")</f>
        <v/>
      </c>
      <c r="L248">
        <f>IFERROR(VLOOKUP(C248,Merchants!$A$2:$D$41,4,FALSE),"Merchant not found")</f>
        <v/>
      </c>
      <c r="M248" s="5">
        <f>HLOOKUP(F248,Fee_Reference!$B$1:$E$2,2,FALSE)</f>
        <v/>
      </c>
      <c r="N248">
        <f>SUMIFS($E$2:$E$548,$C$2:$C$548,C248,$I$2:$I$548,I248)</f>
        <v/>
      </c>
      <c r="O248">
        <f>IF(J248="Merchant not found","Merchant not found",IF(AND(N248&gt;5000,L248&lt;&gt;"East"),"High-Value Merchant Day","Normal Merchant Day"))</f>
        <v/>
      </c>
    </row>
    <row r="249">
      <c r="A249" t="inlineStr">
        <is>
          <t>TXN100247</t>
        </is>
      </c>
      <c r="B249" t="n">
        <v>145</v>
      </c>
      <c r="C249" t="n">
        <v>25</v>
      </c>
      <c r="D249" s="3" t="n">
        <v>46028.47430555556</v>
      </c>
      <c r="E249" t="n">
        <v>799</v>
      </c>
      <c r="F249" t="inlineStr">
        <is>
          <t>UPI</t>
        </is>
      </c>
      <c r="G249" t="inlineStr">
        <is>
          <t>captured</t>
        </is>
      </c>
      <c r="H249" t="n">
        <v>52</v>
      </c>
      <c r="I249" s="4">
        <f>INT(D249)</f>
        <v/>
      </c>
      <c r="J249">
        <f>IFERROR(VLOOKUP(C249,Merchants!$A$2:$D$41,2,FALSE),"Merchant not found")</f>
        <v/>
      </c>
      <c r="K249">
        <f>IFERROR(VLOOKUP(C249,Merchants!$A$2:$D$41,3,FALSE),"Merchant not found")</f>
        <v/>
      </c>
      <c r="L249">
        <f>IFERROR(VLOOKUP(C249,Merchants!$A$2:$D$41,4,FALSE),"Merchant not found")</f>
        <v/>
      </c>
      <c r="M249" s="5">
        <f>HLOOKUP(F249,Fee_Reference!$B$1:$E$2,2,FALSE)</f>
        <v/>
      </c>
      <c r="N249">
        <f>SUMIFS($E$2:$E$548,$C$2:$C$548,C249,$I$2:$I$548,I249)</f>
        <v/>
      </c>
      <c r="O249">
        <f>IF(J249="Merchant not found","Merchant not found",IF(AND(N249&gt;5000,L249&lt;&gt;"East"),"High-Value Merchant Day","Normal Merchant Day"))</f>
        <v/>
      </c>
    </row>
    <row r="250">
      <c r="A250" t="inlineStr">
        <is>
          <t>TXN100248</t>
        </is>
      </c>
      <c r="B250" t="n">
        <v>307</v>
      </c>
      <c r="C250" t="n">
        <v>4</v>
      </c>
      <c r="D250" s="3" t="n">
        <v>46047.44652777778</v>
      </c>
      <c r="E250" t="n">
        <v>1499</v>
      </c>
      <c r="F250" t="inlineStr">
        <is>
          <t>UPI</t>
        </is>
      </c>
      <c r="G250" t="inlineStr">
        <is>
          <t>captured</t>
        </is>
      </c>
      <c r="H250" t="n">
        <v>80</v>
      </c>
      <c r="I250" s="4">
        <f>INT(D250)</f>
        <v/>
      </c>
      <c r="J250">
        <f>IFERROR(VLOOKUP(C250,Merchants!$A$2:$D$41,2,FALSE),"Merchant not found")</f>
        <v/>
      </c>
      <c r="K250">
        <f>IFERROR(VLOOKUP(C250,Merchants!$A$2:$D$41,3,FALSE),"Merchant not found")</f>
        <v/>
      </c>
      <c r="L250">
        <f>IFERROR(VLOOKUP(C250,Merchants!$A$2:$D$41,4,FALSE),"Merchant not found")</f>
        <v/>
      </c>
      <c r="M250" s="5">
        <f>HLOOKUP(F250,Fee_Reference!$B$1:$E$2,2,FALSE)</f>
        <v/>
      </c>
      <c r="N250">
        <f>SUMIFS($E$2:$E$548,$C$2:$C$548,C250,$I$2:$I$548,I250)</f>
        <v/>
      </c>
      <c r="O250">
        <f>IF(J250="Merchant not found","Merchant not found",IF(AND(N250&gt;5000,L250&lt;&gt;"East"),"High-Value Merchant Day","Normal Merchant Day"))</f>
        <v/>
      </c>
    </row>
    <row r="251">
      <c r="A251" t="inlineStr">
        <is>
          <t>TXN100249</t>
        </is>
      </c>
      <c r="B251" t="n">
        <v>169</v>
      </c>
      <c r="C251" t="n">
        <v>7</v>
      </c>
      <c r="D251" s="3" t="n">
        <v>46043.41944444444</v>
      </c>
      <c r="E251" t="n">
        <v>1499</v>
      </c>
      <c r="F251" t="inlineStr">
        <is>
          <t>Wallet</t>
        </is>
      </c>
      <c r="G251" t="inlineStr">
        <is>
          <t>captured</t>
        </is>
      </c>
      <c r="H251" t="n">
        <v>71</v>
      </c>
      <c r="I251" s="4">
        <f>INT(D251)</f>
        <v/>
      </c>
      <c r="J251">
        <f>IFERROR(VLOOKUP(C251,Merchants!$A$2:$D$41,2,FALSE),"Merchant not found")</f>
        <v/>
      </c>
      <c r="K251">
        <f>IFERROR(VLOOKUP(C251,Merchants!$A$2:$D$41,3,FALSE),"Merchant not found")</f>
        <v/>
      </c>
      <c r="L251">
        <f>IFERROR(VLOOKUP(C251,Merchants!$A$2:$D$41,4,FALSE),"Merchant not found")</f>
        <v/>
      </c>
      <c r="M251" s="5">
        <f>HLOOKUP(F251,Fee_Reference!$B$1:$E$2,2,FALSE)</f>
        <v/>
      </c>
      <c r="N251">
        <f>SUMIFS($E$2:$E$548,$C$2:$C$548,C251,$I$2:$I$548,I251)</f>
        <v/>
      </c>
      <c r="O251">
        <f>IF(J251="Merchant not found","Merchant not found",IF(AND(N251&gt;5000,L251&lt;&gt;"East"),"High-Value Merchant Day","Normal Merchant Day"))</f>
        <v/>
      </c>
    </row>
    <row r="252">
      <c r="A252" t="inlineStr">
        <is>
          <t>TXN100250</t>
        </is>
      </c>
      <c r="B252" t="n">
        <v>130</v>
      </c>
      <c r="C252" t="n">
        <v>39</v>
      </c>
      <c r="D252" s="3" t="n">
        <v>46044.5125</v>
      </c>
      <c r="E252" t="n">
        <v>2999</v>
      </c>
      <c r="F252" t="inlineStr">
        <is>
          <t>Wallet</t>
        </is>
      </c>
      <c r="G252" t="inlineStr">
        <is>
          <t>captured</t>
        </is>
      </c>
      <c r="H252" t="n">
        <v>19</v>
      </c>
      <c r="I252" s="4">
        <f>INT(D252)</f>
        <v/>
      </c>
      <c r="J252">
        <f>IFERROR(VLOOKUP(C252,Merchants!$A$2:$D$41,2,FALSE),"Merchant not found")</f>
        <v/>
      </c>
      <c r="K252">
        <f>IFERROR(VLOOKUP(C252,Merchants!$A$2:$D$41,3,FALSE),"Merchant not found")</f>
        <v/>
      </c>
      <c r="L252">
        <f>IFERROR(VLOOKUP(C252,Merchants!$A$2:$D$41,4,FALSE),"Merchant not found")</f>
        <v/>
      </c>
      <c r="M252" s="5">
        <f>HLOOKUP(F252,Fee_Reference!$B$1:$E$2,2,FALSE)</f>
        <v/>
      </c>
      <c r="N252">
        <f>SUMIFS($E$2:$E$548,$C$2:$C$548,C252,$I$2:$I$548,I252)</f>
        <v/>
      </c>
      <c r="O252">
        <f>IF(J252="Merchant not found","Merchant not found",IF(AND(N252&gt;5000,L252&lt;&gt;"East"),"High-Value Merchant Day","Normal Merchant Day"))</f>
        <v/>
      </c>
    </row>
    <row r="253">
      <c r="A253" t="inlineStr">
        <is>
          <t>TXN100251</t>
        </is>
      </c>
      <c r="B253" t="n">
        <v>340</v>
      </c>
      <c r="C253" t="n">
        <v>10</v>
      </c>
      <c r="D253" s="3" t="n">
        <v>46033.10902777778</v>
      </c>
      <c r="E253" t="n">
        <v>49</v>
      </c>
      <c r="F253" t="inlineStr">
        <is>
          <t>Card</t>
        </is>
      </c>
      <c r="G253" t="inlineStr">
        <is>
          <t>captured</t>
        </is>
      </c>
      <c r="H253" t="n">
        <v>44</v>
      </c>
      <c r="I253" s="4">
        <f>INT(D253)</f>
        <v/>
      </c>
      <c r="J253">
        <f>IFERROR(VLOOKUP(C253,Merchants!$A$2:$D$41,2,FALSE),"Merchant not found")</f>
        <v/>
      </c>
      <c r="K253">
        <f>IFERROR(VLOOKUP(C253,Merchants!$A$2:$D$41,3,FALSE),"Merchant not found")</f>
        <v/>
      </c>
      <c r="L253">
        <f>IFERROR(VLOOKUP(C253,Merchants!$A$2:$D$41,4,FALSE),"Merchant not found")</f>
        <v/>
      </c>
      <c r="M253" s="5">
        <f>HLOOKUP(F253,Fee_Reference!$B$1:$E$2,2,FALSE)</f>
        <v/>
      </c>
      <c r="N253">
        <f>SUMIFS($E$2:$E$548,$C$2:$C$548,C253,$I$2:$I$548,I253)</f>
        <v/>
      </c>
      <c r="O253">
        <f>IF(J253="Merchant not found","Merchant not found",IF(AND(N253&gt;5000,L253&lt;&gt;"East"),"High-Value Merchant Day","Normal Merchant Day"))</f>
        <v/>
      </c>
    </row>
    <row r="254">
      <c r="A254" t="inlineStr">
        <is>
          <t>TXN100252</t>
        </is>
      </c>
      <c r="B254" t="n">
        <v>340</v>
      </c>
      <c r="C254" t="n">
        <v>26</v>
      </c>
      <c r="D254" s="3" t="n">
        <v>46032.86388888889</v>
      </c>
      <c r="E254" t="n">
        <v>299</v>
      </c>
      <c r="F254" t="inlineStr">
        <is>
          <t>Card</t>
        </is>
      </c>
      <c r="G254" t="inlineStr">
        <is>
          <t>captured</t>
        </is>
      </c>
      <c r="H254" t="n">
        <v>16</v>
      </c>
      <c r="I254" s="4">
        <f>INT(D254)</f>
        <v/>
      </c>
      <c r="J254">
        <f>IFERROR(VLOOKUP(C254,Merchants!$A$2:$D$41,2,FALSE),"Merchant not found")</f>
        <v/>
      </c>
      <c r="K254">
        <f>IFERROR(VLOOKUP(C254,Merchants!$A$2:$D$41,3,FALSE),"Merchant not found")</f>
        <v/>
      </c>
      <c r="L254">
        <f>IFERROR(VLOOKUP(C254,Merchants!$A$2:$D$41,4,FALSE),"Merchant not found")</f>
        <v/>
      </c>
      <c r="M254" s="5">
        <f>HLOOKUP(F254,Fee_Reference!$B$1:$E$2,2,FALSE)</f>
        <v/>
      </c>
      <c r="N254">
        <f>SUMIFS($E$2:$E$548,$C$2:$C$548,C254,$I$2:$I$548,I254)</f>
        <v/>
      </c>
      <c r="O254">
        <f>IF(J254="Merchant not found","Merchant not found",IF(AND(N254&gt;5000,L254&lt;&gt;"East"),"High-Value Merchant Day","Normal Merchant Day"))</f>
        <v/>
      </c>
    </row>
    <row r="255">
      <c r="A255" t="inlineStr">
        <is>
          <t>TXN100253</t>
        </is>
      </c>
      <c r="B255" t="n">
        <v>159</v>
      </c>
      <c r="C255" t="n">
        <v>36</v>
      </c>
      <c r="D255" s="3" t="n">
        <v>46042.92013888889</v>
      </c>
      <c r="E255" t="n">
        <v>49</v>
      </c>
      <c r="F255" t="inlineStr">
        <is>
          <t>UPI</t>
        </is>
      </c>
      <c r="G255" t="inlineStr">
        <is>
          <t>captured</t>
        </is>
      </c>
      <c r="H255" t="n">
        <v>48</v>
      </c>
      <c r="I255" s="4">
        <f>INT(D255)</f>
        <v/>
      </c>
      <c r="J255">
        <f>IFERROR(VLOOKUP(C255,Merchants!$A$2:$D$41,2,FALSE),"Merchant not found")</f>
        <v/>
      </c>
      <c r="K255">
        <f>IFERROR(VLOOKUP(C255,Merchants!$A$2:$D$41,3,FALSE),"Merchant not found")</f>
        <v/>
      </c>
      <c r="L255">
        <f>IFERROR(VLOOKUP(C255,Merchants!$A$2:$D$41,4,FALSE),"Merchant not found")</f>
        <v/>
      </c>
      <c r="M255" s="5">
        <f>HLOOKUP(F255,Fee_Reference!$B$1:$E$2,2,FALSE)</f>
        <v/>
      </c>
      <c r="N255">
        <f>SUMIFS($E$2:$E$548,$C$2:$C$548,C255,$I$2:$I$548,I255)</f>
        <v/>
      </c>
      <c r="O255">
        <f>IF(J255="Merchant not found","Merchant not found",IF(AND(N255&gt;5000,L255&lt;&gt;"East"),"High-Value Merchant Day","Normal Merchant Day"))</f>
        <v/>
      </c>
    </row>
    <row r="256">
      <c r="A256" t="inlineStr">
        <is>
          <t>TXN100254</t>
        </is>
      </c>
      <c r="B256" t="n">
        <v>66</v>
      </c>
      <c r="C256" t="n">
        <v>34</v>
      </c>
      <c r="D256" s="3" t="n">
        <v>46043.45277777778</v>
      </c>
      <c r="E256" t="n">
        <v>799</v>
      </c>
      <c r="F256" t="inlineStr">
        <is>
          <t>UPI</t>
        </is>
      </c>
      <c r="G256" t="inlineStr">
        <is>
          <t>captured</t>
        </is>
      </c>
      <c r="H256" t="n">
        <v>11</v>
      </c>
      <c r="I256" s="4">
        <f>INT(D256)</f>
        <v/>
      </c>
      <c r="J256">
        <f>IFERROR(VLOOKUP(C256,Merchants!$A$2:$D$41,2,FALSE),"Merchant not found")</f>
        <v/>
      </c>
      <c r="K256">
        <f>IFERROR(VLOOKUP(C256,Merchants!$A$2:$D$41,3,FALSE),"Merchant not found")</f>
        <v/>
      </c>
      <c r="L256">
        <f>IFERROR(VLOOKUP(C256,Merchants!$A$2:$D$41,4,FALSE),"Merchant not found")</f>
        <v/>
      </c>
      <c r="M256" s="5">
        <f>HLOOKUP(F256,Fee_Reference!$B$1:$E$2,2,FALSE)</f>
        <v/>
      </c>
      <c r="N256">
        <f>SUMIFS($E$2:$E$548,$C$2:$C$548,C256,$I$2:$I$548,I256)</f>
        <v/>
      </c>
      <c r="O256">
        <f>IF(J256="Merchant not found","Merchant not found",IF(AND(N256&gt;5000,L256&lt;&gt;"East"),"High-Value Merchant Day","Normal Merchant Day"))</f>
        <v/>
      </c>
    </row>
    <row r="257">
      <c r="A257" t="inlineStr">
        <is>
          <t>TXN100255</t>
        </is>
      </c>
      <c r="B257" t="n">
        <v>261</v>
      </c>
      <c r="C257" t="n">
        <v>24</v>
      </c>
      <c r="D257" s="3" t="n">
        <v>46043.89375</v>
      </c>
      <c r="E257" t="n">
        <v>799</v>
      </c>
      <c r="F257" t="inlineStr">
        <is>
          <t>Card</t>
        </is>
      </c>
      <c r="G257" t="inlineStr">
        <is>
          <t>captured</t>
        </is>
      </c>
      <c r="H257" t="n">
        <v>2</v>
      </c>
      <c r="I257" s="4">
        <f>INT(D257)</f>
        <v/>
      </c>
      <c r="J257">
        <f>IFERROR(VLOOKUP(C257,Merchants!$A$2:$D$41,2,FALSE),"Merchant not found")</f>
        <v/>
      </c>
      <c r="K257">
        <f>IFERROR(VLOOKUP(C257,Merchants!$A$2:$D$41,3,FALSE),"Merchant not found")</f>
        <v/>
      </c>
      <c r="L257">
        <f>IFERROR(VLOOKUP(C257,Merchants!$A$2:$D$41,4,FALSE),"Merchant not found")</f>
        <v/>
      </c>
      <c r="M257" s="5">
        <f>HLOOKUP(F257,Fee_Reference!$B$1:$E$2,2,FALSE)</f>
        <v/>
      </c>
      <c r="N257">
        <f>SUMIFS($E$2:$E$548,$C$2:$C$548,C257,$I$2:$I$548,I257)</f>
        <v/>
      </c>
      <c r="O257">
        <f>IF(J257="Merchant not found","Merchant not found",IF(AND(N257&gt;5000,L257&lt;&gt;"East"),"High-Value Merchant Day","Normal Merchant Day"))</f>
        <v/>
      </c>
    </row>
    <row r="258">
      <c r="A258" t="inlineStr">
        <is>
          <t>TXN100256</t>
        </is>
      </c>
      <c r="B258" t="n">
        <v>110</v>
      </c>
      <c r="C258" t="n">
        <v>22</v>
      </c>
      <c r="D258" s="3" t="n">
        <v>46034.38263888889</v>
      </c>
      <c r="E258" t="n">
        <v>799</v>
      </c>
      <c r="F258" t="inlineStr">
        <is>
          <t>UPI</t>
        </is>
      </c>
      <c r="G258" t="inlineStr">
        <is>
          <t>captured</t>
        </is>
      </c>
      <c r="H258" t="n">
        <v>98</v>
      </c>
      <c r="I258" s="4">
        <f>INT(D258)</f>
        <v/>
      </c>
      <c r="J258">
        <f>IFERROR(VLOOKUP(C258,Merchants!$A$2:$D$41,2,FALSE),"Merchant not found")</f>
        <v/>
      </c>
      <c r="K258">
        <f>IFERROR(VLOOKUP(C258,Merchants!$A$2:$D$41,3,FALSE),"Merchant not found")</f>
        <v/>
      </c>
      <c r="L258">
        <f>IFERROR(VLOOKUP(C258,Merchants!$A$2:$D$41,4,FALSE),"Merchant not found")</f>
        <v/>
      </c>
      <c r="M258" s="5">
        <f>HLOOKUP(F258,Fee_Reference!$B$1:$E$2,2,FALSE)</f>
        <v/>
      </c>
      <c r="N258">
        <f>SUMIFS($E$2:$E$548,$C$2:$C$548,C258,$I$2:$I$548,I258)</f>
        <v/>
      </c>
      <c r="O258">
        <f>IF(J258="Merchant not found","Merchant not found",IF(AND(N258&gt;5000,L258&lt;&gt;"East"),"High-Value Merchant Day","Normal Merchant Day"))</f>
        <v/>
      </c>
    </row>
    <row r="259">
      <c r="A259" t="inlineStr">
        <is>
          <t>TXN100257</t>
        </is>
      </c>
      <c r="B259" t="n">
        <v>71</v>
      </c>
      <c r="C259" t="n">
        <v>10</v>
      </c>
      <c r="D259" s="3" t="n">
        <v>46038.25972222222</v>
      </c>
      <c r="E259" t="n">
        <v>49</v>
      </c>
      <c r="F259" t="inlineStr">
        <is>
          <t>UPI</t>
        </is>
      </c>
      <c r="G259" t="inlineStr">
        <is>
          <t>captured</t>
        </is>
      </c>
      <c r="H259" t="n">
        <v>9</v>
      </c>
      <c r="I259" s="4">
        <f>INT(D259)</f>
        <v/>
      </c>
      <c r="J259">
        <f>IFERROR(VLOOKUP(C259,Merchants!$A$2:$D$41,2,FALSE),"Merchant not found")</f>
        <v/>
      </c>
      <c r="K259">
        <f>IFERROR(VLOOKUP(C259,Merchants!$A$2:$D$41,3,FALSE),"Merchant not found")</f>
        <v/>
      </c>
      <c r="L259">
        <f>IFERROR(VLOOKUP(C259,Merchants!$A$2:$D$41,4,FALSE),"Merchant not found")</f>
        <v/>
      </c>
      <c r="M259" s="5">
        <f>HLOOKUP(F259,Fee_Reference!$B$1:$E$2,2,FALSE)</f>
        <v/>
      </c>
      <c r="N259">
        <f>SUMIFS($E$2:$E$548,$C$2:$C$548,C259,$I$2:$I$548,I259)</f>
        <v/>
      </c>
      <c r="O259">
        <f>IF(J259="Merchant not found","Merchant not found",IF(AND(N259&gt;5000,L259&lt;&gt;"East"),"High-Value Merchant Day","Normal Merchant Day"))</f>
        <v/>
      </c>
    </row>
    <row r="260">
      <c r="A260" t="inlineStr">
        <is>
          <t>TXN100258</t>
        </is>
      </c>
      <c r="B260" t="n">
        <v>277</v>
      </c>
      <c r="C260" t="n">
        <v>34</v>
      </c>
      <c r="D260" s="3" t="n">
        <v>46032.14722222222</v>
      </c>
      <c r="E260" t="n">
        <v>49</v>
      </c>
      <c r="F260" t="inlineStr">
        <is>
          <t>UPI</t>
        </is>
      </c>
      <c r="G260" t="inlineStr">
        <is>
          <t>captured</t>
        </is>
      </c>
      <c r="H260" t="n">
        <v>4</v>
      </c>
      <c r="I260" s="4">
        <f>INT(D260)</f>
        <v/>
      </c>
      <c r="J260">
        <f>IFERROR(VLOOKUP(C260,Merchants!$A$2:$D$41,2,FALSE),"Merchant not found")</f>
        <v/>
      </c>
      <c r="K260">
        <f>IFERROR(VLOOKUP(C260,Merchants!$A$2:$D$41,3,FALSE),"Merchant not found")</f>
        <v/>
      </c>
      <c r="L260">
        <f>IFERROR(VLOOKUP(C260,Merchants!$A$2:$D$41,4,FALSE),"Merchant not found")</f>
        <v/>
      </c>
      <c r="M260" s="5">
        <f>HLOOKUP(F260,Fee_Reference!$B$1:$E$2,2,FALSE)</f>
        <v/>
      </c>
      <c r="N260">
        <f>SUMIFS($E$2:$E$548,$C$2:$C$548,C260,$I$2:$I$548,I260)</f>
        <v/>
      </c>
      <c r="O260">
        <f>IF(J260="Merchant not found","Merchant not found",IF(AND(N260&gt;5000,L260&lt;&gt;"East"),"High-Value Merchant Day","Normal Merchant Day"))</f>
        <v/>
      </c>
    </row>
    <row r="261">
      <c r="A261" t="inlineStr">
        <is>
          <t>TXN100259</t>
        </is>
      </c>
      <c r="B261" t="n">
        <v>317</v>
      </c>
      <c r="C261" t="n">
        <v>9</v>
      </c>
      <c r="D261" s="3" t="n">
        <v>46044.45555555556</v>
      </c>
      <c r="E261" t="n">
        <v>499</v>
      </c>
      <c r="F261" t="inlineStr">
        <is>
          <t>Wallet</t>
        </is>
      </c>
      <c r="G261" t="inlineStr">
        <is>
          <t>captured</t>
        </is>
      </c>
      <c r="H261" t="n">
        <v>76</v>
      </c>
      <c r="I261" s="4">
        <f>INT(D261)</f>
        <v/>
      </c>
      <c r="J261">
        <f>IFERROR(VLOOKUP(C261,Merchants!$A$2:$D$41,2,FALSE),"Merchant not found")</f>
        <v/>
      </c>
      <c r="K261">
        <f>IFERROR(VLOOKUP(C261,Merchants!$A$2:$D$41,3,FALSE),"Merchant not found")</f>
        <v/>
      </c>
      <c r="L261">
        <f>IFERROR(VLOOKUP(C261,Merchants!$A$2:$D$41,4,FALSE),"Merchant not found")</f>
        <v/>
      </c>
      <c r="M261" s="5">
        <f>HLOOKUP(F261,Fee_Reference!$B$1:$E$2,2,FALSE)</f>
        <v/>
      </c>
      <c r="N261">
        <f>SUMIFS($E$2:$E$548,$C$2:$C$548,C261,$I$2:$I$548,I261)</f>
        <v/>
      </c>
      <c r="O261">
        <f>IF(J261="Merchant not found","Merchant not found",IF(AND(N261&gt;5000,L261&lt;&gt;"East"),"High-Value Merchant Day","Normal Merchant Day"))</f>
        <v/>
      </c>
    </row>
    <row r="262">
      <c r="A262" t="inlineStr">
        <is>
          <t>TXN100260</t>
        </is>
      </c>
      <c r="B262" t="n">
        <v>93</v>
      </c>
      <c r="C262" t="n">
        <v>40</v>
      </c>
      <c r="D262" s="3" t="n">
        <v>46035.17361111111</v>
      </c>
      <c r="E262" t="n">
        <v>299</v>
      </c>
      <c r="F262" t="inlineStr">
        <is>
          <t>UPI</t>
        </is>
      </c>
      <c r="G262" t="inlineStr">
        <is>
          <t>captured</t>
        </is>
      </c>
      <c r="H262" t="n">
        <v>21</v>
      </c>
      <c r="I262" s="4">
        <f>INT(D262)</f>
        <v/>
      </c>
      <c r="J262">
        <f>IFERROR(VLOOKUP(C262,Merchants!$A$2:$D$41,2,FALSE),"Merchant not found")</f>
        <v/>
      </c>
      <c r="K262">
        <f>IFERROR(VLOOKUP(C262,Merchants!$A$2:$D$41,3,FALSE),"Merchant not found")</f>
        <v/>
      </c>
      <c r="L262">
        <f>IFERROR(VLOOKUP(C262,Merchants!$A$2:$D$41,4,FALSE),"Merchant not found")</f>
        <v/>
      </c>
      <c r="M262" s="5">
        <f>HLOOKUP(F262,Fee_Reference!$B$1:$E$2,2,FALSE)</f>
        <v/>
      </c>
      <c r="N262">
        <f>SUMIFS($E$2:$E$548,$C$2:$C$548,C262,$I$2:$I$548,I262)</f>
        <v/>
      </c>
      <c r="O262">
        <f>IF(J262="Merchant not found","Merchant not found",IF(AND(N262&gt;5000,L262&lt;&gt;"East"),"High-Value Merchant Day","Normal Merchant Day"))</f>
        <v/>
      </c>
    </row>
    <row r="263">
      <c r="A263" t="inlineStr">
        <is>
          <t>TXN100261</t>
        </is>
      </c>
      <c r="B263" t="n">
        <v>211</v>
      </c>
      <c r="C263" t="n">
        <v>24</v>
      </c>
      <c r="D263" s="3" t="n">
        <v>46046.58472222222</v>
      </c>
      <c r="E263" t="n">
        <v>99</v>
      </c>
      <c r="F263" t="inlineStr">
        <is>
          <t>Netbanking</t>
        </is>
      </c>
      <c r="G263" t="inlineStr">
        <is>
          <t>captured</t>
        </is>
      </c>
      <c r="H263" t="n">
        <v>86</v>
      </c>
      <c r="I263" s="4">
        <f>INT(D263)</f>
        <v/>
      </c>
      <c r="J263">
        <f>IFERROR(VLOOKUP(C263,Merchants!$A$2:$D$41,2,FALSE),"Merchant not found")</f>
        <v/>
      </c>
      <c r="K263">
        <f>IFERROR(VLOOKUP(C263,Merchants!$A$2:$D$41,3,FALSE),"Merchant not found")</f>
        <v/>
      </c>
      <c r="L263">
        <f>IFERROR(VLOOKUP(C263,Merchants!$A$2:$D$41,4,FALSE),"Merchant not found")</f>
        <v/>
      </c>
      <c r="M263" s="5">
        <f>HLOOKUP(F263,Fee_Reference!$B$1:$E$2,2,FALSE)</f>
        <v/>
      </c>
      <c r="N263">
        <f>SUMIFS($E$2:$E$548,$C$2:$C$548,C263,$I$2:$I$548,I263)</f>
        <v/>
      </c>
      <c r="O263">
        <f>IF(J263="Merchant not found","Merchant not found",IF(AND(N263&gt;5000,L263&lt;&gt;"East"),"High-Value Merchant Day","Normal Merchant Day"))</f>
        <v/>
      </c>
    </row>
    <row r="264">
      <c r="A264" t="inlineStr">
        <is>
          <t>TXN100262</t>
        </is>
      </c>
      <c r="B264" t="n">
        <v>313</v>
      </c>
      <c r="C264" t="n">
        <v>19</v>
      </c>
      <c r="D264" s="3" t="n">
        <v>46046.31111111111</v>
      </c>
      <c r="E264" t="n">
        <v>149</v>
      </c>
      <c r="F264" t="inlineStr">
        <is>
          <t>UPI</t>
        </is>
      </c>
      <c r="G264" t="inlineStr">
        <is>
          <t>captured</t>
        </is>
      </c>
      <c r="H264" t="n">
        <v>96</v>
      </c>
      <c r="I264" s="4">
        <f>INT(D264)</f>
        <v/>
      </c>
      <c r="J264">
        <f>IFERROR(VLOOKUP(C264,Merchants!$A$2:$D$41,2,FALSE),"Merchant not found")</f>
        <v/>
      </c>
      <c r="K264">
        <f>IFERROR(VLOOKUP(C264,Merchants!$A$2:$D$41,3,FALSE),"Merchant not found")</f>
        <v/>
      </c>
      <c r="L264">
        <f>IFERROR(VLOOKUP(C264,Merchants!$A$2:$D$41,4,FALSE),"Merchant not found")</f>
        <v/>
      </c>
      <c r="M264" s="5">
        <f>HLOOKUP(F264,Fee_Reference!$B$1:$E$2,2,FALSE)</f>
        <v/>
      </c>
      <c r="N264">
        <f>SUMIFS($E$2:$E$548,$C$2:$C$548,C264,$I$2:$I$548,I264)</f>
        <v/>
      </c>
      <c r="O264">
        <f>IF(J264="Merchant not found","Merchant not found",IF(AND(N264&gt;5000,L264&lt;&gt;"East"),"High-Value Merchant Day","Normal Merchant Day"))</f>
        <v/>
      </c>
    </row>
    <row r="265">
      <c r="A265" t="inlineStr">
        <is>
          <t>TXN100263</t>
        </is>
      </c>
      <c r="B265" t="n">
        <v>274</v>
      </c>
      <c r="C265" t="n">
        <v>16</v>
      </c>
      <c r="D265" s="3" t="n">
        <v>46046.59305555555</v>
      </c>
      <c r="E265" t="n">
        <v>49</v>
      </c>
      <c r="F265" t="inlineStr">
        <is>
          <t>Wallet</t>
        </is>
      </c>
      <c r="G265" t="inlineStr">
        <is>
          <t>failed</t>
        </is>
      </c>
      <c r="H265" t="n">
        <v>39</v>
      </c>
      <c r="I265" s="4">
        <f>INT(D265)</f>
        <v/>
      </c>
      <c r="J265">
        <f>IFERROR(VLOOKUP(C265,Merchants!$A$2:$D$41,2,FALSE),"Merchant not found")</f>
        <v/>
      </c>
      <c r="K265">
        <f>IFERROR(VLOOKUP(C265,Merchants!$A$2:$D$41,3,FALSE),"Merchant not found")</f>
        <v/>
      </c>
      <c r="L265">
        <f>IFERROR(VLOOKUP(C265,Merchants!$A$2:$D$41,4,FALSE),"Merchant not found")</f>
        <v/>
      </c>
      <c r="M265" s="5">
        <f>HLOOKUP(F265,Fee_Reference!$B$1:$E$2,2,FALSE)</f>
        <v/>
      </c>
      <c r="N265">
        <f>SUMIFS($E$2:$E$548,$C$2:$C$548,C265,$I$2:$I$548,I265)</f>
        <v/>
      </c>
      <c r="O265">
        <f>IF(J265="Merchant not found","Merchant not found",IF(AND(N265&gt;5000,L265&lt;&gt;"East"),"High-Value Merchant Day","Normal Merchant Day"))</f>
        <v/>
      </c>
    </row>
    <row r="266">
      <c r="A266" t="inlineStr">
        <is>
          <t>TXN100264</t>
        </is>
      </c>
      <c r="B266" t="n">
        <v>100</v>
      </c>
      <c r="C266" t="n">
        <v>24</v>
      </c>
      <c r="D266" s="3" t="n">
        <v>46048.66458333333</v>
      </c>
      <c r="E266" t="n">
        <v>299</v>
      </c>
      <c r="F266" t="inlineStr">
        <is>
          <t>UPI</t>
        </is>
      </c>
      <c r="G266" t="inlineStr">
        <is>
          <t>captured</t>
        </is>
      </c>
      <c r="H266" t="n">
        <v>86</v>
      </c>
      <c r="I266" s="4">
        <f>INT(D266)</f>
        <v/>
      </c>
      <c r="J266">
        <f>IFERROR(VLOOKUP(C266,Merchants!$A$2:$D$41,2,FALSE),"Merchant not found")</f>
        <v/>
      </c>
      <c r="K266">
        <f>IFERROR(VLOOKUP(C266,Merchants!$A$2:$D$41,3,FALSE),"Merchant not found")</f>
        <v/>
      </c>
      <c r="L266">
        <f>IFERROR(VLOOKUP(C266,Merchants!$A$2:$D$41,4,FALSE),"Merchant not found")</f>
        <v/>
      </c>
      <c r="M266" s="5">
        <f>HLOOKUP(F266,Fee_Reference!$B$1:$E$2,2,FALSE)</f>
        <v/>
      </c>
      <c r="N266">
        <f>SUMIFS($E$2:$E$548,$C$2:$C$548,C266,$I$2:$I$548,I266)</f>
        <v/>
      </c>
      <c r="O266">
        <f>IF(J266="Merchant not found","Merchant not found",IF(AND(N266&gt;5000,L266&lt;&gt;"East"),"High-Value Merchant Day","Normal Merchant Day"))</f>
        <v/>
      </c>
    </row>
    <row r="267">
      <c r="A267" t="inlineStr">
        <is>
          <t>TXN100265</t>
        </is>
      </c>
      <c r="B267" t="n">
        <v>145</v>
      </c>
      <c r="C267" t="n">
        <v>25</v>
      </c>
      <c r="D267" s="3" t="n">
        <v>46041.60347222222</v>
      </c>
      <c r="E267" t="n">
        <v>2999</v>
      </c>
      <c r="F267" t="inlineStr">
        <is>
          <t>Wallet</t>
        </is>
      </c>
      <c r="G267" t="inlineStr">
        <is>
          <t>captured</t>
        </is>
      </c>
      <c r="H267" t="n">
        <v>64</v>
      </c>
      <c r="I267" s="4">
        <f>INT(D267)</f>
        <v/>
      </c>
      <c r="J267">
        <f>IFERROR(VLOOKUP(C267,Merchants!$A$2:$D$41,2,FALSE),"Merchant not found")</f>
        <v/>
      </c>
      <c r="K267">
        <f>IFERROR(VLOOKUP(C267,Merchants!$A$2:$D$41,3,FALSE),"Merchant not found")</f>
        <v/>
      </c>
      <c r="L267">
        <f>IFERROR(VLOOKUP(C267,Merchants!$A$2:$D$41,4,FALSE),"Merchant not found")</f>
        <v/>
      </c>
      <c r="M267" s="5">
        <f>HLOOKUP(F267,Fee_Reference!$B$1:$E$2,2,FALSE)</f>
        <v/>
      </c>
      <c r="N267">
        <f>SUMIFS($E$2:$E$548,$C$2:$C$548,C267,$I$2:$I$548,I267)</f>
        <v/>
      </c>
      <c r="O267">
        <f>IF(J267="Merchant not found","Merchant not found",IF(AND(N267&gt;5000,L267&lt;&gt;"East"),"High-Value Merchant Day","Normal Merchant Day"))</f>
        <v/>
      </c>
    </row>
    <row r="268">
      <c r="A268" t="inlineStr">
        <is>
          <t>TXN100266</t>
        </is>
      </c>
      <c r="B268" t="n">
        <v>103</v>
      </c>
      <c r="C268" t="n">
        <v>39</v>
      </c>
      <c r="D268" s="3" t="n">
        <v>46039.54861111111</v>
      </c>
      <c r="E268" t="n">
        <v>2999</v>
      </c>
      <c r="F268" t="inlineStr">
        <is>
          <t>Wallet</t>
        </is>
      </c>
      <c r="G268" t="inlineStr">
        <is>
          <t>captured</t>
        </is>
      </c>
      <c r="H268" t="n">
        <v>17</v>
      </c>
      <c r="I268" s="4">
        <f>INT(D268)</f>
        <v/>
      </c>
      <c r="J268">
        <f>IFERROR(VLOOKUP(C268,Merchants!$A$2:$D$41,2,FALSE),"Merchant not found")</f>
        <v/>
      </c>
      <c r="K268">
        <f>IFERROR(VLOOKUP(C268,Merchants!$A$2:$D$41,3,FALSE),"Merchant not found")</f>
        <v/>
      </c>
      <c r="L268">
        <f>IFERROR(VLOOKUP(C268,Merchants!$A$2:$D$41,4,FALSE),"Merchant not found")</f>
        <v/>
      </c>
      <c r="M268" s="5">
        <f>HLOOKUP(F268,Fee_Reference!$B$1:$E$2,2,FALSE)</f>
        <v/>
      </c>
      <c r="N268">
        <f>SUMIFS($E$2:$E$548,$C$2:$C$548,C268,$I$2:$I$548,I268)</f>
        <v/>
      </c>
      <c r="O268">
        <f>IF(J268="Merchant not found","Merchant not found",IF(AND(N268&gt;5000,L268&lt;&gt;"East"),"High-Value Merchant Day","Normal Merchant Day"))</f>
        <v/>
      </c>
    </row>
    <row r="269">
      <c r="A269" t="inlineStr">
        <is>
          <t>TXN100267</t>
        </is>
      </c>
      <c r="B269" t="n">
        <v>329</v>
      </c>
      <c r="C269" t="n">
        <v>31</v>
      </c>
      <c r="D269" s="3" t="n">
        <v>46050.33541666667</v>
      </c>
      <c r="E269" t="n">
        <v>299</v>
      </c>
      <c r="F269" t="inlineStr">
        <is>
          <t>Wallet</t>
        </is>
      </c>
      <c r="G269" t="inlineStr">
        <is>
          <t>captured</t>
        </is>
      </c>
      <c r="H269" t="n">
        <v>47</v>
      </c>
      <c r="I269" s="4">
        <f>INT(D269)</f>
        <v/>
      </c>
      <c r="J269">
        <f>IFERROR(VLOOKUP(C269,Merchants!$A$2:$D$41,2,FALSE),"Merchant not found")</f>
        <v/>
      </c>
      <c r="K269">
        <f>IFERROR(VLOOKUP(C269,Merchants!$A$2:$D$41,3,FALSE),"Merchant not found")</f>
        <v/>
      </c>
      <c r="L269">
        <f>IFERROR(VLOOKUP(C269,Merchants!$A$2:$D$41,4,FALSE),"Merchant not found")</f>
        <v/>
      </c>
      <c r="M269" s="5">
        <f>HLOOKUP(F269,Fee_Reference!$B$1:$E$2,2,FALSE)</f>
        <v/>
      </c>
      <c r="N269">
        <f>SUMIFS($E$2:$E$548,$C$2:$C$548,C269,$I$2:$I$548,I269)</f>
        <v/>
      </c>
      <c r="O269">
        <f>IF(J269="Merchant not found","Merchant not found",IF(AND(N269&gt;5000,L269&lt;&gt;"East"),"High-Value Merchant Day","Normal Merchant Day"))</f>
        <v/>
      </c>
    </row>
    <row r="270">
      <c r="A270" t="inlineStr">
        <is>
          <t>TXN100268</t>
        </is>
      </c>
      <c r="B270" t="n">
        <v>265</v>
      </c>
      <c r="C270" t="n">
        <v>8</v>
      </c>
      <c r="D270" s="3" t="n">
        <v>46040.15625</v>
      </c>
      <c r="E270" t="n">
        <v>499</v>
      </c>
      <c r="F270" t="inlineStr">
        <is>
          <t>Netbanking</t>
        </is>
      </c>
      <c r="G270" t="inlineStr">
        <is>
          <t>captured</t>
        </is>
      </c>
      <c r="H270" t="n">
        <v>36</v>
      </c>
      <c r="I270" s="4">
        <f>INT(D270)</f>
        <v/>
      </c>
      <c r="J270">
        <f>IFERROR(VLOOKUP(C270,Merchants!$A$2:$D$41,2,FALSE),"Merchant not found")</f>
        <v/>
      </c>
      <c r="K270">
        <f>IFERROR(VLOOKUP(C270,Merchants!$A$2:$D$41,3,FALSE),"Merchant not found")</f>
        <v/>
      </c>
      <c r="L270">
        <f>IFERROR(VLOOKUP(C270,Merchants!$A$2:$D$41,4,FALSE),"Merchant not found")</f>
        <v/>
      </c>
      <c r="M270" s="5">
        <f>HLOOKUP(F270,Fee_Reference!$B$1:$E$2,2,FALSE)</f>
        <v/>
      </c>
      <c r="N270">
        <f>SUMIFS($E$2:$E$548,$C$2:$C$548,C270,$I$2:$I$548,I270)</f>
        <v/>
      </c>
      <c r="O270">
        <f>IF(J270="Merchant not found","Merchant not found",IF(AND(N270&gt;5000,L270&lt;&gt;"East"),"High-Value Merchant Day","Normal Merchant Day"))</f>
        <v/>
      </c>
    </row>
    <row r="271">
      <c r="A271" t="inlineStr">
        <is>
          <t>TXN100269</t>
        </is>
      </c>
      <c r="B271" t="n">
        <v>231</v>
      </c>
      <c r="C271" t="n">
        <v>33</v>
      </c>
      <c r="D271" s="3" t="n">
        <v>46025.22013888889</v>
      </c>
      <c r="E271" t="n">
        <v>149</v>
      </c>
      <c r="F271" t="inlineStr">
        <is>
          <t>UPI</t>
        </is>
      </c>
      <c r="G271" t="inlineStr">
        <is>
          <t>failed</t>
        </is>
      </c>
      <c r="H271" t="n">
        <v>18</v>
      </c>
      <c r="I271" s="4">
        <f>INT(D271)</f>
        <v/>
      </c>
      <c r="J271">
        <f>IFERROR(VLOOKUP(C271,Merchants!$A$2:$D$41,2,FALSE),"Merchant not found")</f>
        <v/>
      </c>
      <c r="K271">
        <f>IFERROR(VLOOKUP(C271,Merchants!$A$2:$D$41,3,FALSE),"Merchant not found")</f>
        <v/>
      </c>
      <c r="L271">
        <f>IFERROR(VLOOKUP(C271,Merchants!$A$2:$D$41,4,FALSE),"Merchant not found")</f>
        <v/>
      </c>
      <c r="M271" s="5">
        <f>HLOOKUP(F271,Fee_Reference!$B$1:$E$2,2,FALSE)</f>
        <v/>
      </c>
      <c r="N271">
        <f>SUMIFS($E$2:$E$548,$C$2:$C$548,C271,$I$2:$I$548,I271)</f>
        <v/>
      </c>
      <c r="O271">
        <f>IF(J271="Merchant not found","Merchant not found",IF(AND(N271&gt;5000,L271&lt;&gt;"East"),"High-Value Merchant Day","Normal Merchant Day"))</f>
        <v/>
      </c>
    </row>
    <row r="272">
      <c r="A272" t="inlineStr">
        <is>
          <t>TXN100270</t>
        </is>
      </c>
      <c r="B272" t="n">
        <v>114</v>
      </c>
      <c r="C272" t="n">
        <v>29</v>
      </c>
      <c r="D272" s="3" t="n">
        <v>46049.54513888889</v>
      </c>
      <c r="E272" t="n">
        <v>799</v>
      </c>
      <c r="F272" t="inlineStr">
        <is>
          <t>UPI</t>
        </is>
      </c>
      <c r="G272" t="inlineStr">
        <is>
          <t>chargeback</t>
        </is>
      </c>
      <c r="H272" t="n">
        <v>44</v>
      </c>
      <c r="I272" s="4">
        <f>INT(D272)</f>
        <v/>
      </c>
      <c r="J272">
        <f>IFERROR(VLOOKUP(C272,Merchants!$A$2:$D$41,2,FALSE),"Merchant not found")</f>
        <v/>
      </c>
      <c r="K272">
        <f>IFERROR(VLOOKUP(C272,Merchants!$A$2:$D$41,3,FALSE),"Merchant not found")</f>
        <v/>
      </c>
      <c r="L272">
        <f>IFERROR(VLOOKUP(C272,Merchants!$A$2:$D$41,4,FALSE),"Merchant not found")</f>
        <v/>
      </c>
      <c r="M272" s="5">
        <f>HLOOKUP(F272,Fee_Reference!$B$1:$E$2,2,FALSE)</f>
        <v/>
      </c>
      <c r="N272">
        <f>SUMIFS($E$2:$E$548,$C$2:$C$548,C272,$I$2:$I$548,I272)</f>
        <v/>
      </c>
      <c r="O272">
        <f>IF(J272="Merchant not found","Merchant not found",IF(AND(N272&gt;5000,L272&lt;&gt;"East"),"High-Value Merchant Day","Normal Merchant Day"))</f>
        <v/>
      </c>
    </row>
    <row r="273">
      <c r="A273" t="inlineStr">
        <is>
          <t>TXN100271</t>
        </is>
      </c>
      <c r="B273" t="n">
        <v>28</v>
      </c>
      <c r="C273" t="n">
        <v>26</v>
      </c>
      <c r="D273" s="3" t="n">
        <v>46052.01805555556</v>
      </c>
      <c r="E273" t="n">
        <v>1499</v>
      </c>
      <c r="F273" t="inlineStr">
        <is>
          <t>UPI</t>
        </is>
      </c>
      <c r="G273" t="inlineStr">
        <is>
          <t>failed</t>
        </is>
      </c>
      <c r="H273" t="n">
        <v>64</v>
      </c>
      <c r="I273" s="4">
        <f>INT(D273)</f>
        <v/>
      </c>
      <c r="J273">
        <f>IFERROR(VLOOKUP(C273,Merchants!$A$2:$D$41,2,FALSE),"Merchant not found")</f>
        <v/>
      </c>
      <c r="K273">
        <f>IFERROR(VLOOKUP(C273,Merchants!$A$2:$D$41,3,FALSE),"Merchant not found")</f>
        <v/>
      </c>
      <c r="L273">
        <f>IFERROR(VLOOKUP(C273,Merchants!$A$2:$D$41,4,FALSE),"Merchant not found")</f>
        <v/>
      </c>
      <c r="M273" s="5">
        <f>HLOOKUP(F273,Fee_Reference!$B$1:$E$2,2,FALSE)</f>
        <v/>
      </c>
      <c r="N273">
        <f>SUMIFS($E$2:$E$548,$C$2:$C$548,C273,$I$2:$I$548,I273)</f>
        <v/>
      </c>
      <c r="O273">
        <f>IF(J273="Merchant not found","Merchant not found",IF(AND(N273&gt;5000,L273&lt;&gt;"East"),"High-Value Merchant Day","Normal Merchant Day"))</f>
        <v/>
      </c>
    </row>
    <row r="274">
      <c r="A274" t="inlineStr">
        <is>
          <t>TXN100272</t>
        </is>
      </c>
      <c r="B274" t="n">
        <v>42</v>
      </c>
      <c r="C274" t="n">
        <v>24</v>
      </c>
      <c r="D274" s="3" t="n">
        <v>46034.30833333333</v>
      </c>
      <c r="E274" t="n">
        <v>149</v>
      </c>
      <c r="F274" t="inlineStr">
        <is>
          <t>UPI</t>
        </is>
      </c>
      <c r="G274" t="inlineStr">
        <is>
          <t>captured</t>
        </is>
      </c>
      <c r="H274" t="n">
        <v>28</v>
      </c>
      <c r="I274" s="4">
        <f>INT(D274)</f>
        <v/>
      </c>
      <c r="J274">
        <f>IFERROR(VLOOKUP(C274,Merchants!$A$2:$D$41,2,FALSE),"Merchant not found")</f>
        <v/>
      </c>
      <c r="K274">
        <f>IFERROR(VLOOKUP(C274,Merchants!$A$2:$D$41,3,FALSE),"Merchant not found")</f>
        <v/>
      </c>
      <c r="L274">
        <f>IFERROR(VLOOKUP(C274,Merchants!$A$2:$D$41,4,FALSE),"Merchant not found")</f>
        <v/>
      </c>
      <c r="M274" s="5">
        <f>HLOOKUP(F274,Fee_Reference!$B$1:$E$2,2,FALSE)</f>
        <v/>
      </c>
      <c r="N274">
        <f>SUMIFS($E$2:$E$548,$C$2:$C$548,C274,$I$2:$I$548,I274)</f>
        <v/>
      </c>
      <c r="O274">
        <f>IF(J274="Merchant not found","Merchant not found",IF(AND(N274&gt;5000,L274&lt;&gt;"East"),"High-Value Merchant Day","Normal Merchant Day"))</f>
        <v/>
      </c>
    </row>
    <row r="275">
      <c r="A275" t="inlineStr">
        <is>
          <t>TXN100273</t>
        </is>
      </c>
      <c r="B275" t="n">
        <v>51</v>
      </c>
      <c r="C275" t="n">
        <v>22</v>
      </c>
      <c r="D275" s="3" t="n">
        <v>46023.45763888889</v>
      </c>
      <c r="E275" t="n">
        <v>799</v>
      </c>
      <c r="F275" t="inlineStr">
        <is>
          <t>UPI</t>
        </is>
      </c>
      <c r="G275" t="inlineStr">
        <is>
          <t>captured</t>
        </is>
      </c>
      <c r="H275" t="n">
        <v>18</v>
      </c>
      <c r="I275" s="4">
        <f>INT(D275)</f>
        <v/>
      </c>
      <c r="J275">
        <f>IFERROR(VLOOKUP(C275,Merchants!$A$2:$D$41,2,FALSE),"Merchant not found")</f>
        <v/>
      </c>
      <c r="K275">
        <f>IFERROR(VLOOKUP(C275,Merchants!$A$2:$D$41,3,FALSE),"Merchant not found")</f>
        <v/>
      </c>
      <c r="L275">
        <f>IFERROR(VLOOKUP(C275,Merchants!$A$2:$D$41,4,FALSE),"Merchant not found")</f>
        <v/>
      </c>
      <c r="M275" s="5">
        <f>HLOOKUP(F275,Fee_Reference!$B$1:$E$2,2,FALSE)</f>
        <v/>
      </c>
      <c r="N275">
        <f>SUMIFS($E$2:$E$548,$C$2:$C$548,C275,$I$2:$I$548,I275)</f>
        <v/>
      </c>
      <c r="O275">
        <f>IF(J275="Merchant not found","Merchant not found",IF(AND(N275&gt;5000,L275&lt;&gt;"East"),"High-Value Merchant Day","Normal Merchant Day"))</f>
        <v/>
      </c>
    </row>
    <row r="276">
      <c r="A276" t="inlineStr">
        <is>
          <t>TXN100274</t>
        </is>
      </c>
      <c r="B276" t="n">
        <v>242</v>
      </c>
      <c r="C276" t="n">
        <v>9</v>
      </c>
      <c r="D276" s="3" t="n">
        <v>46027.05416666667</v>
      </c>
      <c r="E276" t="n">
        <v>149</v>
      </c>
      <c r="F276" t="inlineStr">
        <is>
          <t>UPI</t>
        </is>
      </c>
      <c r="G276" t="inlineStr">
        <is>
          <t>captured</t>
        </is>
      </c>
      <c r="H276" t="n">
        <v>97</v>
      </c>
      <c r="I276" s="4">
        <f>INT(D276)</f>
        <v/>
      </c>
      <c r="J276">
        <f>IFERROR(VLOOKUP(C276,Merchants!$A$2:$D$41,2,FALSE),"Merchant not found")</f>
        <v/>
      </c>
      <c r="K276">
        <f>IFERROR(VLOOKUP(C276,Merchants!$A$2:$D$41,3,FALSE),"Merchant not found")</f>
        <v/>
      </c>
      <c r="L276">
        <f>IFERROR(VLOOKUP(C276,Merchants!$A$2:$D$41,4,FALSE),"Merchant not found")</f>
        <v/>
      </c>
      <c r="M276" s="5">
        <f>HLOOKUP(F276,Fee_Reference!$B$1:$E$2,2,FALSE)</f>
        <v/>
      </c>
      <c r="N276">
        <f>SUMIFS($E$2:$E$548,$C$2:$C$548,C276,$I$2:$I$548,I276)</f>
        <v/>
      </c>
      <c r="O276">
        <f>IF(J276="Merchant not found","Merchant not found",IF(AND(N276&gt;5000,L276&lt;&gt;"East"),"High-Value Merchant Day","Normal Merchant Day"))</f>
        <v/>
      </c>
    </row>
    <row r="277">
      <c r="A277" t="inlineStr">
        <is>
          <t>TXN100275</t>
        </is>
      </c>
      <c r="B277" t="n">
        <v>316</v>
      </c>
      <c r="C277" t="n">
        <v>1</v>
      </c>
      <c r="D277" s="3" t="n">
        <v>46045.64444444444</v>
      </c>
      <c r="E277" t="n">
        <v>149</v>
      </c>
      <c r="F277" t="inlineStr">
        <is>
          <t>UPI</t>
        </is>
      </c>
      <c r="G277" t="inlineStr">
        <is>
          <t>captured</t>
        </is>
      </c>
      <c r="H277" t="n">
        <v>10</v>
      </c>
      <c r="I277" s="4">
        <f>INT(D277)</f>
        <v/>
      </c>
      <c r="J277">
        <f>IFERROR(VLOOKUP(C277,Merchants!$A$2:$D$41,2,FALSE),"Merchant not found")</f>
        <v/>
      </c>
      <c r="K277">
        <f>IFERROR(VLOOKUP(C277,Merchants!$A$2:$D$41,3,FALSE),"Merchant not found")</f>
        <v/>
      </c>
      <c r="L277">
        <f>IFERROR(VLOOKUP(C277,Merchants!$A$2:$D$41,4,FALSE),"Merchant not found")</f>
        <v/>
      </c>
      <c r="M277" s="5">
        <f>HLOOKUP(F277,Fee_Reference!$B$1:$E$2,2,FALSE)</f>
        <v/>
      </c>
      <c r="N277">
        <f>SUMIFS($E$2:$E$548,$C$2:$C$548,C277,$I$2:$I$548,I277)</f>
        <v/>
      </c>
      <c r="O277">
        <f>IF(J277="Merchant not found","Merchant not found",IF(AND(N277&gt;5000,L277&lt;&gt;"East"),"High-Value Merchant Day","Normal Merchant Day"))</f>
        <v/>
      </c>
    </row>
    <row r="278">
      <c r="A278" t="inlineStr">
        <is>
          <t>TXN100276</t>
        </is>
      </c>
      <c r="B278" t="n">
        <v>77</v>
      </c>
      <c r="C278" t="n">
        <v>36</v>
      </c>
      <c r="D278" s="3" t="n">
        <v>46023.34236111111</v>
      </c>
      <c r="E278" t="n">
        <v>149</v>
      </c>
      <c r="F278" t="inlineStr">
        <is>
          <t>UPI</t>
        </is>
      </c>
      <c r="G278" t="inlineStr">
        <is>
          <t>captured</t>
        </is>
      </c>
      <c r="H278" t="n">
        <v>93</v>
      </c>
      <c r="I278" s="4">
        <f>INT(D278)</f>
        <v/>
      </c>
      <c r="J278">
        <f>IFERROR(VLOOKUP(C278,Merchants!$A$2:$D$41,2,FALSE),"Merchant not found")</f>
        <v/>
      </c>
      <c r="K278">
        <f>IFERROR(VLOOKUP(C278,Merchants!$A$2:$D$41,3,FALSE),"Merchant not found")</f>
        <v/>
      </c>
      <c r="L278">
        <f>IFERROR(VLOOKUP(C278,Merchants!$A$2:$D$41,4,FALSE),"Merchant not found")</f>
        <v/>
      </c>
      <c r="M278" s="5">
        <f>HLOOKUP(F278,Fee_Reference!$B$1:$E$2,2,FALSE)</f>
        <v/>
      </c>
      <c r="N278">
        <f>SUMIFS($E$2:$E$548,$C$2:$C$548,C278,$I$2:$I$548,I278)</f>
        <v/>
      </c>
      <c r="O278">
        <f>IF(J278="Merchant not found","Merchant not found",IF(AND(N278&gt;5000,L278&lt;&gt;"East"),"High-Value Merchant Day","Normal Merchant Day"))</f>
        <v/>
      </c>
    </row>
    <row r="279">
      <c r="A279" t="inlineStr">
        <is>
          <t>TXN100277</t>
        </is>
      </c>
      <c r="B279" t="n">
        <v>57</v>
      </c>
      <c r="C279" t="n">
        <v>19</v>
      </c>
      <c r="D279" s="3" t="n">
        <v>46042.68541666667</v>
      </c>
      <c r="E279" t="n">
        <v>49</v>
      </c>
      <c r="F279" t="inlineStr">
        <is>
          <t>UPI</t>
        </is>
      </c>
      <c r="G279" t="inlineStr">
        <is>
          <t>captured</t>
        </is>
      </c>
      <c r="H279" t="n">
        <v>30</v>
      </c>
      <c r="I279" s="4">
        <f>INT(D279)</f>
        <v/>
      </c>
      <c r="J279">
        <f>IFERROR(VLOOKUP(C279,Merchants!$A$2:$D$41,2,FALSE),"Merchant not found")</f>
        <v/>
      </c>
      <c r="K279">
        <f>IFERROR(VLOOKUP(C279,Merchants!$A$2:$D$41,3,FALSE),"Merchant not found")</f>
        <v/>
      </c>
      <c r="L279">
        <f>IFERROR(VLOOKUP(C279,Merchants!$A$2:$D$41,4,FALSE),"Merchant not found")</f>
        <v/>
      </c>
      <c r="M279" s="5">
        <f>HLOOKUP(F279,Fee_Reference!$B$1:$E$2,2,FALSE)</f>
        <v/>
      </c>
      <c r="N279">
        <f>SUMIFS($E$2:$E$548,$C$2:$C$548,C279,$I$2:$I$548,I279)</f>
        <v/>
      </c>
      <c r="O279">
        <f>IF(J279="Merchant not found","Merchant not found",IF(AND(N279&gt;5000,L279&lt;&gt;"East"),"High-Value Merchant Day","Normal Merchant Day"))</f>
        <v/>
      </c>
    </row>
    <row r="280">
      <c r="A280" t="inlineStr">
        <is>
          <t>TXN100278</t>
        </is>
      </c>
      <c r="B280" t="n">
        <v>123</v>
      </c>
      <c r="C280" t="n">
        <v>27</v>
      </c>
      <c r="D280" s="3" t="n">
        <v>46032.12708333333</v>
      </c>
      <c r="E280" t="n">
        <v>149</v>
      </c>
      <c r="F280" t="inlineStr">
        <is>
          <t>Netbanking</t>
        </is>
      </c>
      <c r="G280" t="inlineStr">
        <is>
          <t>captured</t>
        </is>
      </c>
      <c r="H280" t="n">
        <v>81</v>
      </c>
      <c r="I280" s="4">
        <f>INT(D280)</f>
        <v/>
      </c>
      <c r="J280">
        <f>IFERROR(VLOOKUP(C280,Merchants!$A$2:$D$41,2,FALSE),"Merchant not found")</f>
        <v/>
      </c>
      <c r="K280">
        <f>IFERROR(VLOOKUP(C280,Merchants!$A$2:$D$41,3,FALSE),"Merchant not found")</f>
        <v/>
      </c>
      <c r="L280">
        <f>IFERROR(VLOOKUP(C280,Merchants!$A$2:$D$41,4,FALSE),"Merchant not found")</f>
        <v/>
      </c>
      <c r="M280" s="5">
        <f>HLOOKUP(F280,Fee_Reference!$B$1:$E$2,2,FALSE)</f>
        <v/>
      </c>
      <c r="N280">
        <f>SUMIFS($E$2:$E$548,$C$2:$C$548,C280,$I$2:$I$548,I280)</f>
        <v/>
      </c>
      <c r="O280">
        <f>IF(J280="Merchant not found","Merchant not found",IF(AND(N280&gt;5000,L280&lt;&gt;"East"),"High-Value Merchant Day","Normal Merchant Day"))</f>
        <v/>
      </c>
    </row>
    <row r="281">
      <c r="A281" t="inlineStr">
        <is>
          <t>TXN100279</t>
        </is>
      </c>
      <c r="B281" t="n">
        <v>33</v>
      </c>
      <c r="C281" t="n">
        <v>8</v>
      </c>
      <c r="D281" s="3" t="n">
        <v>46048.81180555555</v>
      </c>
      <c r="E281" t="n">
        <v>299</v>
      </c>
      <c r="F281" t="inlineStr">
        <is>
          <t>Wallet</t>
        </is>
      </c>
      <c r="G281" t="inlineStr">
        <is>
          <t>captured</t>
        </is>
      </c>
      <c r="H281" t="n">
        <v>63</v>
      </c>
      <c r="I281" s="4">
        <f>INT(D281)</f>
        <v/>
      </c>
      <c r="J281">
        <f>IFERROR(VLOOKUP(C281,Merchants!$A$2:$D$41,2,FALSE),"Merchant not found")</f>
        <v/>
      </c>
      <c r="K281">
        <f>IFERROR(VLOOKUP(C281,Merchants!$A$2:$D$41,3,FALSE),"Merchant not found")</f>
        <v/>
      </c>
      <c r="L281">
        <f>IFERROR(VLOOKUP(C281,Merchants!$A$2:$D$41,4,FALSE),"Merchant not found")</f>
        <v/>
      </c>
      <c r="M281" s="5">
        <f>HLOOKUP(F281,Fee_Reference!$B$1:$E$2,2,FALSE)</f>
        <v/>
      </c>
      <c r="N281">
        <f>SUMIFS($E$2:$E$548,$C$2:$C$548,C281,$I$2:$I$548,I281)</f>
        <v/>
      </c>
      <c r="O281">
        <f>IF(J281="Merchant not found","Merchant not found",IF(AND(N281&gt;5000,L281&lt;&gt;"East"),"High-Value Merchant Day","Normal Merchant Day"))</f>
        <v/>
      </c>
    </row>
    <row r="282">
      <c r="A282" t="inlineStr">
        <is>
          <t>TXN100280</t>
        </is>
      </c>
      <c r="B282" t="n">
        <v>324</v>
      </c>
      <c r="C282" t="n">
        <v>33</v>
      </c>
      <c r="D282" s="3" t="n">
        <v>46042.70902777778</v>
      </c>
      <c r="E282" t="n">
        <v>499</v>
      </c>
      <c r="F282" t="inlineStr">
        <is>
          <t>UPI</t>
        </is>
      </c>
      <c r="G282" t="inlineStr">
        <is>
          <t>captured</t>
        </is>
      </c>
      <c r="H282" t="n">
        <v>73</v>
      </c>
      <c r="I282" s="4">
        <f>INT(D282)</f>
        <v/>
      </c>
      <c r="J282">
        <f>IFERROR(VLOOKUP(C282,Merchants!$A$2:$D$41,2,FALSE),"Merchant not found")</f>
        <v/>
      </c>
      <c r="K282">
        <f>IFERROR(VLOOKUP(C282,Merchants!$A$2:$D$41,3,FALSE),"Merchant not found")</f>
        <v/>
      </c>
      <c r="L282">
        <f>IFERROR(VLOOKUP(C282,Merchants!$A$2:$D$41,4,FALSE),"Merchant not found")</f>
        <v/>
      </c>
      <c r="M282" s="5">
        <f>HLOOKUP(F282,Fee_Reference!$B$1:$E$2,2,FALSE)</f>
        <v/>
      </c>
      <c r="N282">
        <f>SUMIFS($E$2:$E$548,$C$2:$C$548,C282,$I$2:$I$548,I282)</f>
        <v/>
      </c>
      <c r="O282">
        <f>IF(J282="Merchant not found","Merchant not found",IF(AND(N282&gt;5000,L282&lt;&gt;"East"),"High-Value Merchant Day","Normal Merchant Day"))</f>
        <v/>
      </c>
    </row>
    <row r="283">
      <c r="A283" t="inlineStr">
        <is>
          <t>TXN100281</t>
        </is>
      </c>
      <c r="B283" t="n">
        <v>150</v>
      </c>
      <c r="C283" t="n">
        <v>28</v>
      </c>
      <c r="D283" s="3" t="n">
        <v>46030.92291666667</v>
      </c>
      <c r="E283" t="n">
        <v>49</v>
      </c>
      <c r="F283" t="inlineStr">
        <is>
          <t>UPI</t>
        </is>
      </c>
      <c r="G283" t="inlineStr">
        <is>
          <t>failed</t>
        </is>
      </c>
      <c r="H283" t="n">
        <v>0</v>
      </c>
      <c r="I283" s="4">
        <f>INT(D283)</f>
        <v/>
      </c>
      <c r="J283">
        <f>IFERROR(VLOOKUP(C283,Merchants!$A$2:$D$41,2,FALSE),"Merchant not found")</f>
        <v/>
      </c>
      <c r="K283">
        <f>IFERROR(VLOOKUP(C283,Merchants!$A$2:$D$41,3,FALSE),"Merchant not found")</f>
        <v/>
      </c>
      <c r="L283">
        <f>IFERROR(VLOOKUP(C283,Merchants!$A$2:$D$41,4,FALSE),"Merchant not found")</f>
        <v/>
      </c>
      <c r="M283" s="5">
        <f>HLOOKUP(F283,Fee_Reference!$B$1:$E$2,2,FALSE)</f>
        <v/>
      </c>
      <c r="N283">
        <f>SUMIFS($E$2:$E$548,$C$2:$C$548,C283,$I$2:$I$548,I283)</f>
        <v/>
      </c>
      <c r="O283">
        <f>IF(J283="Merchant not found","Merchant not found",IF(AND(N283&gt;5000,L283&lt;&gt;"East"),"High-Value Merchant Day","Normal Merchant Day"))</f>
        <v/>
      </c>
    </row>
    <row r="284">
      <c r="A284" t="inlineStr">
        <is>
          <t>TXN100282</t>
        </is>
      </c>
      <c r="B284" t="n">
        <v>293</v>
      </c>
      <c r="C284" t="n">
        <v>27</v>
      </c>
      <c r="D284" s="3" t="n">
        <v>46042.46875</v>
      </c>
      <c r="E284" t="n">
        <v>4999</v>
      </c>
      <c r="F284" t="inlineStr">
        <is>
          <t>UPI</t>
        </is>
      </c>
      <c r="G284" t="inlineStr">
        <is>
          <t>captured</t>
        </is>
      </c>
      <c r="H284" t="n">
        <v>23</v>
      </c>
      <c r="I284" s="4">
        <f>INT(D284)</f>
        <v/>
      </c>
      <c r="J284">
        <f>IFERROR(VLOOKUP(C284,Merchants!$A$2:$D$41,2,FALSE),"Merchant not found")</f>
        <v/>
      </c>
      <c r="K284">
        <f>IFERROR(VLOOKUP(C284,Merchants!$A$2:$D$41,3,FALSE),"Merchant not found")</f>
        <v/>
      </c>
      <c r="L284">
        <f>IFERROR(VLOOKUP(C284,Merchants!$A$2:$D$41,4,FALSE),"Merchant not found")</f>
        <v/>
      </c>
      <c r="M284" s="5">
        <f>HLOOKUP(F284,Fee_Reference!$B$1:$E$2,2,FALSE)</f>
        <v/>
      </c>
      <c r="N284">
        <f>SUMIFS($E$2:$E$548,$C$2:$C$548,C284,$I$2:$I$548,I284)</f>
        <v/>
      </c>
      <c r="O284">
        <f>IF(J284="Merchant not found","Merchant not found",IF(AND(N284&gt;5000,L284&lt;&gt;"East"),"High-Value Merchant Day","Normal Merchant Day"))</f>
        <v/>
      </c>
    </row>
    <row r="285">
      <c r="A285" t="inlineStr">
        <is>
          <t>TXN100283</t>
        </is>
      </c>
      <c r="B285" t="n">
        <v>269</v>
      </c>
      <c r="C285" t="n">
        <v>24</v>
      </c>
      <c r="D285" s="3" t="n">
        <v>46044.87847222222</v>
      </c>
      <c r="E285" t="n">
        <v>49</v>
      </c>
      <c r="F285" t="inlineStr">
        <is>
          <t>Wallet</t>
        </is>
      </c>
      <c r="G285" t="inlineStr">
        <is>
          <t>captured</t>
        </is>
      </c>
      <c r="H285" t="n">
        <v>8</v>
      </c>
      <c r="I285" s="4">
        <f>INT(D285)</f>
        <v/>
      </c>
      <c r="J285">
        <f>IFERROR(VLOOKUP(C285,Merchants!$A$2:$D$41,2,FALSE),"Merchant not found")</f>
        <v/>
      </c>
      <c r="K285">
        <f>IFERROR(VLOOKUP(C285,Merchants!$A$2:$D$41,3,FALSE),"Merchant not found")</f>
        <v/>
      </c>
      <c r="L285">
        <f>IFERROR(VLOOKUP(C285,Merchants!$A$2:$D$41,4,FALSE),"Merchant not found")</f>
        <v/>
      </c>
      <c r="M285" s="5">
        <f>HLOOKUP(F285,Fee_Reference!$B$1:$E$2,2,FALSE)</f>
        <v/>
      </c>
      <c r="N285">
        <f>SUMIFS($E$2:$E$548,$C$2:$C$548,C285,$I$2:$I$548,I285)</f>
        <v/>
      </c>
      <c r="O285">
        <f>IF(J285="Merchant not found","Merchant not found",IF(AND(N285&gt;5000,L285&lt;&gt;"East"),"High-Value Merchant Day","Normal Merchant Day"))</f>
        <v/>
      </c>
    </row>
    <row r="286">
      <c r="A286" t="inlineStr">
        <is>
          <t>TXN100284</t>
        </is>
      </c>
      <c r="B286" t="n">
        <v>260</v>
      </c>
      <c r="C286" t="n">
        <v>36</v>
      </c>
      <c r="D286" s="3" t="n">
        <v>46039.73055555556</v>
      </c>
      <c r="E286" t="n">
        <v>1499</v>
      </c>
      <c r="F286" t="inlineStr">
        <is>
          <t>UPI</t>
        </is>
      </c>
      <c r="G286" t="inlineStr">
        <is>
          <t>captured</t>
        </is>
      </c>
      <c r="H286" t="n">
        <v>2</v>
      </c>
      <c r="I286" s="4">
        <f>INT(D286)</f>
        <v/>
      </c>
      <c r="J286">
        <f>IFERROR(VLOOKUP(C286,Merchants!$A$2:$D$41,2,FALSE),"Merchant not found")</f>
        <v/>
      </c>
      <c r="K286">
        <f>IFERROR(VLOOKUP(C286,Merchants!$A$2:$D$41,3,FALSE),"Merchant not found")</f>
        <v/>
      </c>
      <c r="L286">
        <f>IFERROR(VLOOKUP(C286,Merchants!$A$2:$D$41,4,FALSE),"Merchant not found")</f>
        <v/>
      </c>
      <c r="M286" s="5">
        <f>HLOOKUP(F286,Fee_Reference!$B$1:$E$2,2,FALSE)</f>
        <v/>
      </c>
      <c r="N286">
        <f>SUMIFS($E$2:$E$548,$C$2:$C$548,C286,$I$2:$I$548,I286)</f>
        <v/>
      </c>
      <c r="O286">
        <f>IF(J286="Merchant not found","Merchant not found",IF(AND(N286&gt;5000,L286&lt;&gt;"East"),"High-Value Merchant Day","Normal Merchant Day"))</f>
        <v/>
      </c>
    </row>
    <row r="287">
      <c r="A287" t="inlineStr">
        <is>
          <t>TXN100285</t>
        </is>
      </c>
      <c r="B287" t="n">
        <v>326</v>
      </c>
      <c r="C287" t="n">
        <v>25</v>
      </c>
      <c r="D287" s="3" t="n">
        <v>46035.62638888889</v>
      </c>
      <c r="E287" t="n">
        <v>49</v>
      </c>
      <c r="F287" t="inlineStr">
        <is>
          <t>UPI</t>
        </is>
      </c>
      <c r="G287" t="inlineStr">
        <is>
          <t>captured</t>
        </is>
      </c>
      <c r="H287" t="n">
        <v>47</v>
      </c>
      <c r="I287" s="4">
        <f>INT(D287)</f>
        <v/>
      </c>
      <c r="J287">
        <f>IFERROR(VLOOKUP(C287,Merchants!$A$2:$D$41,2,FALSE),"Merchant not found")</f>
        <v/>
      </c>
      <c r="K287">
        <f>IFERROR(VLOOKUP(C287,Merchants!$A$2:$D$41,3,FALSE),"Merchant not found")</f>
        <v/>
      </c>
      <c r="L287">
        <f>IFERROR(VLOOKUP(C287,Merchants!$A$2:$D$41,4,FALSE),"Merchant not found")</f>
        <v/>
      </c>
      <c r="M287" s="5">
        <f>HLOOKUP(F287,Fee_Reference!$B$1:$E$2,2,FALSE)</f>
        <v/>
      </c>
      <c r="N287">
        <f>SUMIFS($E$2:$E$548,$C$2:$C$548,C287,$I$2:$I$548,I287)</f>
        <v/>
      </c>
      <c r="O287">
        <f>IF(J287="Merchant not found","Merchant not found",IF(AND(N287&gt;5000,L287&lt;&gt;"East"),"High-Value Merchant Day","Normal Merchant Day"))</f>
        <v/>
      </c>
    </row>
    <row r="288">
      <c r="A288" t="inlineStr">
        <is>
          <t>TXN100286</t>
        </is>
      </c>
      <c r="B288" t="n">
        <v>183</v>
      </c>
      <c r="C288" t="n">
        <v>5</v>
      </c>
      <c r="D288" s="3" t="n">
        <v>46031.95902777778</v>
      </c>
      <c r="E288" t="n">
        <v>49</v>
      </c>
      <c r="F288" t="inlineStr">
        <is>
          <t>Card</t>
        </is>
      </c>
      <c r="G288" t="inlineStr">
        <is>
          <t>captured</t>
        </is>
      </c>
      <c r="H288" t="n">
        <v>44</v>
      </c>
      <c r="I288" s="4">
        <f>INT(D288)</f>
        <v/>
      </c>
      <c r="J288">
        <f>IFERROR(VLOOKUP(C288,Merchants!$A$2:$D$41,2,FALSE),"Merchant not found")</f>
        <v/>
      </c>
      <c r="K288">
        <f>IFERROR(VLOOKUP(C288,Merchants!$A$2:$D$41,3,FALSE),"Merchant not found")</f>
        <v/>
      </c>
      <c r="L288">
        <f>IFERROR(VLOOKUP(C288,Merchants!$A$2:$D$41,4,FALSE),"Merchant not found")</f>
        <v/>
      </c>
      <c r="M288" s="5">
        <f>HLOOKUP(F288,Fee_Reference!$B$1:$E$2,2,FALSE)</f>
        <v/>
      </c>
      <c r="N288">
        <f>SUMIFS($E$2:$E$548,$C$2:$C$548,C288,$I$2:$I$548,I288)</f>
        <v/>
      </c>
      <c r="O288">
        <f>IF(J288="Merchant not found","Merchant not found",IF(AND(N288&gt;5000,L288&lt;&gt;"East"),"High-Value Merchant Day","Normal Merchant Day"))</f>
        <v/>
      </c>
    </row>
    <row r="289">
      <c r="A289" t="inlineStr">
        <is>
          <t>TXN100287</t>
        </is>
      </c>
      <c r="B289" t="n">
        <v>322</v>
      </c>
      <c r="C289" t="n">
        <v>7</v>
      </c>
      <c r="D289" s="3" t="n">
        <v>46030.9875</v>
      </c>
      <c r="E289" t="n">
        <v>299</v>
      </c>
      <c r="F289" t="inlineStr">
        <is>
          <t>UPI</t>
        </is>
      </c>
      <c r="G289" t="inlineStr">
        <is>
          <t>captured</t>
        </is>
      </c>
      <c r="H289" t="n">
        <v>98</v>
      </c>
      <c r="I289" s="4">
        <f>INT(D289)</f>
        <v/>
      </c>
      <c r="J289">
        <f>IFERROR(VLOOKUP(C289,Merchants!$A$2:$D$41,2,FALSE),"Merchant not found")</f>
        <v/>
      </c>
      <c r="K289">
        <f>IFERROR(VLOOKUP(C289,Merchants!$A$2:$D$41,3,FALSE),"Merchant not found")</f>
        <v/>
      </c>
      <c r="L289">
        <f>IFERROR(VLOOKUP(C289,Merchants!$A$2:$D$41,4,FALSE),"Merchant not found")</f>
        <v/>
      </c>
      <c r="M289" s="5">
        <f>HLOOKUP(F289,Fee_Reference!$B$1:$E$2,2,FALSE)</f>
        <v/>
      </c>
      <c r="N289">
        <f>SUMIFS($E$2:$E$548,$C$2:$C$548,C289,$I$2:$I$548,I289)</f>
        <v/>
      </c>
      <c r="O289">
        <f>IF(J289="Merchant not found","Merchant not found",IF(AND(N289&gt;5000,L289&lt;&gt;"East"),"High-Value Merchant Day","Normal Merchant Day"))</f>
        <v/>
      </c>
    </row>
    <row r="290">
      <c r="A290" t="inlineStr">
        <is>
          <t>TXN100288</t>
        </is>
      </c>
      <c r="B290" t="n">
        <v>171</v>
      </c>
      <c r="C290" t="n">
        <v>9</v>
      </c>
      <c r="D290" s="3" t="n">
        <v>46041.99166666667</v>
      </c>
      <c r="E290" t="n">
        <v>299</v>
      </c>
      <c r="F290" t="inlineStr">
        <is>
          <t>UPI</t>
        </is>
      </c>
      <c r="G290" t="inlineStr">
        <is>
          <t>captured</t>
        </is>
      </c>
      <c r="H290" t="n">
        <v>5</v>
      </c>
      <c r="I290" s="4">
        <f>INT(D290)</f>
        <v/>
      </c>
      <c r="J290">
        <f>IFERROR(VLOOKUP(C290,Merchants!$A$2:$D$41,2,FALSE),"Merchant not found")</f>
        <v/>
      </c>
      <c r="K290">
        <f>IFERROR(VLOOKUP(C290,Merchants!$A$2:$D$41,3,FALSE),"Merchant not found")</f>
        <v/>
      </c>
      <c r="L290">
        <f>IFERROR(VLOOKUP(C290,Merchants!$A$2:$D$41,4,FALSE),"Merchant not found")</f>
        <v/>
      </c>
      <c r="M290" s="5">
        <f>HLOOKUP(F290,Fee_Reference!$B$1:$E$2,2,FALSE)</f>
        <v/>
      </c>
      <c r="N290">
        <f>SUMIFS($E$2:$E$548,$C$2:$C$548,C290,$I$2:$I$548,I290)</f>
        <v/>
      </c>
      <c r="O290">
        <f>IF(J290="Merchant not found","Merchant not found",IF(AND(N290&gt;5000,L290&lt;&gt;"East"),"High-Value Merchant Day","Normal Merchant Day"))</f>
        <v/>
      </c>
    </row>
    <row r="291">
      <c r="A291" t="inlineStr">
        <is>
          <t>TXN100289</t>
        </is>
      </c>
      <c r="B291" t="n">
        <v>330</v>
      </c>
      <c r="C291" t="n">
        <v>12</v>
      </c>
      <c r="D291" s="3" t="n">
        <v>46034.72291666667</v>
      </c>
      <c r="E291" t="n">
        <v>1499</v>
      </c>
      <c r="F291" t="inlineStr">
        <is>
          <t>Netbanking</t>
        </is>
      </c>
      <c r="G291" t="inlineStr">
        <is>
          <t>captured</t>
        </is>
      </c>
      <c r="H291" t="n">
        <v>99</v>
      </c>
      <c r="I291" s="4">
        <f>INT(D291)</f>
        <v/>
      </c>
      <c r="J291">
        <f>IFERROR(VLOOKUP(C291,Merchants!$A$2:$D$41,2,FALSE),"Merchant not found")</f>
        <v/>
      </c>
      <c r="K291">
        <f>IFERROR(VLOOKUP(C291,Merchants!$A$2:$D$41,3,FALSE),"Merchant not found")</f>
        <v/>
      </c>
      <c r="L291">
        <f>IFERROR(VLOOKUP(C291,Merchants!$A$2:$D$41,4,FALSE),"Merchant not found")</f>
        <v/>
      </c>
      <c r="M291" s="5">
        <f>HLOOKUP(F291,Fee_Reference!$B$1:$E$2,2,FALSE)</f>
        <v/>
      </c>
      <c r="N291">
        <f>SUMIFS($E$2:$E$548,$C$2:$C$548,C291,$I$2:$I$548,I291)</f>
        <v/>
      </c>
      <c r="O291">
        <f>IF(J291="Merchant not found","Merchant not found",IF(AND(N291&gt;5000,L291&lt;&gt;"East"),"High-Value Merchant Day","Normal Merchant Day"))</f>
        <v/>
      </c>
    </row>
    <row r="292">
      <c r="A292" t="inlineStr">
        <is>
          <t>TXN100290</t>
        </is>
      </c>
      <c r="B292" t="n">
        <v>246</v>
      </c>
      <c r="C292" t="n">
        <v>12</v>
      </c>
      <c r="D292" s="3" t="n">
        <v>46044.61388888889</v>
      </c>
      <c r="E292" t="n">
        <v>99</v>
      </c>
      <c r="F292" t="inlineStr">
        <is>
          <t>Wallet</t>
        </is>
      </c>
      <c r="G292" t="inlineStr">
        <is>
          <t>captured</t>
        </is>
      </c>
      <c r="H292" t="n">
        <v>17</v>
      </c>
      <c r="I292" s="4">
        <f>INT(D292)</f>
        <v/>
      </c>
      <c r="J292">
        <f>IFERROR(VLOOKUP(C292,Merchants!$A$2:$D$41,2,FALSE),"Merchant not found")</f>
        <v/>
      </c>
      <c r="K292">
        <f>IFERROR(VLOOKUP(C292,Merchants!$A$2:$D$41,3,FALSE),"Merchant not found")</f>
        <v/>
      </c>
      <c r="L292">
        <f>IFERROR(VLOOKUP(C292,Merchants!$A$2:$D$41,4,FALSE),"Merchant not found")</f>
        <v/>
      </c>
      <c r="M292" s="5">
        <f>HLOOKUP(F292,Fee_Reference!$B$1:$E$2,2,FALSE)</f>
        <v/>
      </c>
      <c r="N292">
        <f>SUMIFS($E$2:$E$548,$C$2:$C$548,C292,$I$2:$I$548,I292)</f>
        <v/>
      </c>
      <c r="O292">
        <f>IF(J292="Merchant not found","Merchant not found",IF(AND(N292&gt;5000,L292&lt;&gt;"East"),"High-Value Merchant Day","Normal Merchant Day"))</f>
        <v/>
      </c>
    </row>
    <row r="293">
      <c r="A293" t="inlineStr">
        <is>
          <t>TXN100291</t>
        </is>
      </c>
      <c r="B293" t="n">
        <v>235</v>
      </c>
      <c r="C293" t="n">
        <v>3</v>
      </c>
      <c r="D293" s="3" t="n">
        <v>46025.95069444444</v>
      </c>
      <c r="E293" t="n">
        <v>49</v>
      </c>
      <c r="F293" t="inlineStr">
        <is>
          <t>UPI</t>
        </is>
      </c>
      <c r="G293" t="inlineStr">
        <is>
          <t>captured</t>
        </is>
      </c>
      <c r="H293" t="n">
        <v>37</v>
      </c>
      <c r="I293" s="4">
        <f>INT(D293)</f>
        <v/>
      </c>
      <c r="J293">
        <f>IFERROR(VLOOKUP(C293,Merchants!$A$2:$D$41,2,FALSE),"Merchant not found")</f>
        <v/>
      </c>
      <c r="K293">
        <f>IFERROR(VLOOKUP(C293,Merchants!$A$2:$D$41,3,FALSE),"Merchant not found")</f>
        <v/>
      </c>
      <c r="L293">
        <f>IFERROR(VLOOKUP(C293,Merchants!$A$2:$D$41,4,FALSE),"Merchant not found")</f>
        <v/>
      </c>
      <c r="M293" s="5">
        <f>HLOOKUP(F293,Fee_Reference!$B$1:$E$2,2,FALSE)</f>
        <v/>
      </c>
      <c r="N293">
        <f>SUMIFS($E$2:$E$548,$C$2:$C$548,C293,$I$2:$I$548,I293)</f>
        <v/>
      </c>
      <c r="O293">
        <f>IF(J293="Merchant not found","Merchant not found",IF(AND(N293&gt;5000,L293&lt;&gt;"East"),"High-Value Merchant Day","Normal Merchant Day"))</f>
        <v/>
      </c>
    </row>
    <row r="294">
      <c r="A294" t="inlineStr">
        <is>
          <t>TXN100292</t>
        </is>
      </c>
      <c r="B294" t="n">
        <v>103</v>
      </c>
      <c r="C294" t="n">
        <v>3</v>
      </c>
      <c r="D294" s="3" t="n">
        <v>46029.07638888889</v>
      </c>
      <c r="E294" t="n">
        <v>499</v>
      </c>
      <c r="F294" t="inlineStr">
        <is>
          <t>UPI</t>
        </is>
      </c>
      <c r="G294" t="inlineStr">
        <is>
          <t>captured</t>
        </is>
      </c>
      <c r="H294" t="n">
        <v>40</v>
      </c>
      <c r="I294" s="4">
        <f>INT(D294)</f>
        <v/>
      </c>
      <c r="J294">
        <f>IFERROR(VLOOKUP(C294,Merchants!$A$2:$D$41,2,FALSE),"Merchant not found")</f>
        <v/>
      </c>
      <c r="K294">
        <f>IFERROR(VLOOKUP(C294,Merchants!$A$2:$D$41,3,FALSE),"Merchant not found")</f>
        <v/>
      </c>
      <c r="L294">
        <f>IFERROR(VLOOKUP(C294,Merchants!$A$2:$D$41,4,FALSE),"Merchant not found")</f>
        <v/>
      </c>
      <c r="M294" s="5">
        <f>HLOOKUP(F294,Fee_Reference!$B$1:$E$2,2,FALSE)</f>
        <v/>
      </c>
      <c r="N294">
        <f>SUMIFS($E$2:$E$548,$C$2:$C$548,C294,$I$2:$I$548,I294)</f>
        <v/>
      </c>
      <c r="O294">
        <f>IF(J294="Merchant not found","Merchant not found",IF(AND(N294&gt;5000,L294&lt;&gt;"East"),"High-Value Merchant Day","Normal Merchant Day"))</f>
        <v/>
      </c>
    </row>
    <row r="295">
      <c r="A295" t="inlineStr">
        <is>
          <t>TXN100293</t>
        </is>
      </c>
      <c r="B295" t="n">
        <v>204</v>
      </c>
      <c r="C295" t="n">
        <v>35</v>
      </c>
      <c r="D295" s="3" t="n">
        <v>46052.39722222222</v>
      </c>
      <c r="E295" t="n">
        <v>99</v>
      </c>
      <c r="F295" t="inlineStr">
        <is>
          <t>Wallet</t>
        </is>
      </c>
      <c r="G295" t="inlineStr">
        <is>
          <t>captured</t>
        </is>
      </c>
      <c r="H295" t="n">
        <v>60</v>
      </c>
      <c r="I295" s="4">
        <f>INT(D295)</f>
        <v/>
      </c>
      <c r="J295">
        <f>IFERROR(VLOOKUP(C295,Merchants!$A$2:$D$41,2,FALSE),"Merchant not found")</f>
        <v/>
      </c>
      <c r="K295">
        <f>IFERROR(VLOOKUP(C295,Merchants!$A$2:$D$41,3,FALSE),"Merchant not found")</f>
        <v/>
      </c>
      <c r="L295">
        <f>IFERROR(VLOOKUP(C295,Merchants!$A$2:$D$41,4,FALSE),"Merchant not found")</f>
        <v/>
      </c>
      <c r="M295" s="5">
        <f>HLOOKUP(F295,Fee_Reference!$B$1:$E$2,2,FALSE)</f>
        <v/>
      </c>
      <c r="N295">
        <f>SUMIFS($E$2:$E$548,$C$2:$C$548,C295,$I$2:$I$548,I295)</f>
        <v/>
      </c>
      <c r="O295">
        <f>IF(J295="Merchant not found","Merchant not found",IF(AND(N295&gt;5000,L295&lt;&gt;"East"),"High-Value Merchant Day","Normal Merchant Day"))</f>
        <v/>
      </c>
    </row>
    <row r="296">
      <c r="A296" t="inlineStr">
        <is>
          <t>TXN100294</t>
        </is>
      </c>
      <c r="B296" t="n">
        <v>332</v>
      </c>
      <c r="C296" t="n">
        <v>13</v>
      </c>
      <c r="D296" s="3" t="n">
        <v>46031.075</v>
      </c>
      <c r="E296" t="n">
        <v>49</v>
      </c>
      <c r="F296" t="inlineStr">
        <is>
          <t>Card</t>
        </is>
      </c>
      <c r="G296" t="inlineStr">
        <is>
          <t>captured</t>
        </is>
      </c>
      <c r="H296" t="n">
        <v>36</v>
      </c>
      <c r="I296" s="4">
        <f>INT(D296)</f>
        <v/>
      </c>
      <c r="J296">
        <f>IFERROR(VLOOKUP(C296,Merchants!$A$2:$D$41,2,FALSE),"Merchant not found")</f>
        <v/>
      </c>
      <c r="K296">
        <f>IFERROR(VLOOKUP(C296,Merchants!$A$2:$D$41,3,FALSE),"Merchant not found")</f>
        <v/>
      </c>
      <c r="L296">
        <f>IFERROR(VLOOKUP(C296,Merchants!$A$2:$D$41,4,FALSE),"Merchant not found")</f>
        <v/>
      </c>
      <c r="M296" s="5">
        <f>HLOOKUP(F296,Fee_Reference!$B$1:$E$2,2,FALSE)</f>
        <v/>
      </c>
      <c r="N296">
        <f>SUMIFS($E$2:$E$548,$C$2:$C$548,C296,$I$2:$I$548,I296)</f>
        <v/>
      </c>
      <c r="O296">
        <f>IF(J296="Merchant not found","Merchant not found",IF(AND(N296&gt;5000,L296&lt;&gt;"East"),"High-Value Merchant Day","Normal Merchant Day"))</f>
        <v/>
      </c>
    </row>
    <row r="297">
      <c r="A297" t="inlineStr">
        <is>
          <t>TXN100295</t>
        </is>
      </c>
      <c r="B297" t="n">
        <v>336</v>
      </c>
      <c r="C297" t="n">
        <v>22</v>
      </c>
      <c r="D297" s="3" t="n">
        <v>46034.07986111111</v>
      </c>
      <c r="E297" t="n">
        <v>499</v>
      </c>
      <c r="F297" t="inlineStr">
        <is>
          <t>UPI</t>
        </is>
      </c>
      <c r="G297" t="inlineStr">
        <is>
          <t>captured</t>
        </is>
      </c>
      <c r="H297" t="n">
        <v>34</v>
      </c>
      <c r="I297" s="4">
        <f>INT(D297)</f>
        <v/>
      </c>
      <c r="J297">
        <f>IFERROR(VLOOKUP(C297,Merchants!$A$2:$D$41,2,FALSE),"Merchant not found")</f>
        <v/>
      </c>
      <c r="K297">
        <f>IFERROR(VLOOKUP(C297,Merchants!$A$2:$D$41,3,FALSE),"Merchant not found")</f>
        <v/>
      </c>
      <c r="L297">
        <f>IFERROR(VLOOKUP(C297,Merchants!$A$2:$D$41,4,FALSE),"Merchant not found")</f>
        <v/>
      </c>
      <c r="M297" s="5">
        <f>HLOOKUP(F297,Fee_Reference!$B$1:$E$2,2,FALSE)</f>
        <v/>
      </c>
      <c r="N297">
        <f>SUMIFS($E$2:$E$548,$C$2:$C$548,C297,$I$2:$I$548,I297)</f>
        <v/>
      </c>
      <c r="O297">
        <f>IF(J297="Merchant not found","Merchant not found",IF(AND(N297&gt;5000,L297&lt;&gt;"East"),"High-Value Merchant Day","Normal Merchant Day"))</f>
        <v/>
      </c>
    </row>
    <row r="298">
      <c r="A298" t="inlineStr">
        <is>
          <t>TXN100296</t>
        </is>
      </c>
      <c r="B298" t="n">
        <v>205</v>
      </c>
      <c r="C298" t="n">
        <v>29</v>
      </c>
      <c r="D298" s="3" t="n">
        <v>46026.47708333333</v>
      </c>
      <c r="E298" t="n">
        <v>99</v>
      </c>
      <c r="F298" t="inlineStr">
        <is>
          <t>Wallet</t>
        </is>
      </c>
      <c r="G298" t="inlineStr">
        <is>
          <t>captured</t>
        </is>
      </c>
      <c r="H298" t="n">
        <v>49</v>
      </c>
      <c r="I298" s="4">
        <f>INT(D298)</f>
        <v/>
      </c>
      <c r="J298">
        <f>IFERROR(VLOOKUP(C298,Merchants!$A$2:$D$41,2,FALSE),"Merchant not found")</f>
        <v/>
      </c>
      <c r="K298">
        <f>IFERROR(VLOOKUP(C298,Merchants!$A$2:$D$41,3,FALSE),"Merchant not found")</f>
        <v/>
      </c>
      <c r="L298">
        <f>IFERROR(VLOOKUP(C298,Merchants!$A$2:$D$41,4,FALSE),"Merchant not found")</f>
        <v/>
      </c>
      <c r="M298" s="5">
        <f>HLOOKUP(F298,Fee_Reference!$B$1:$E$2,2,FALSE)</f>
        <v/>
      </c>
      <c r="N298">
        <f>SUMIFS($E$2:$E$548,$C$2:$C$548,C298,$I$2:$I$548,I298)</f>
        <v/>
      </c>
      <c r="O298">
        <f>IF(J298="Merchant not found","Merchant not found",IF(AND(N298&gt;5000,L298&lt;&gt;"East"),"High-Value Merchant Day","Normal Merchant Day"))</f>
        <v/>
      </c>
    </row>
    <row r="299">
      <c r="A299" t="inlineStr">
        <is>
          <t>TXN100297</t>
        </is>
      </c>
      <c r="B299" t="n">
        <v>255</v>
      </c>
      <c r="C299" t="n">
        <v>24</v>
      </c>
      <c r="D299" s="3" t="n">
        <v>46033.22986111111</v>
      </c>
      <c r="E299" t="n">
        <v>799</v>
      </c>
      <c r="F299" t="inlineStr">
        <is>
          <t>UPI</t>
        </is>
      </c>
      <c r="G299" t="inlineStr">
        <is>
          <t>captured</t>
        </is>
      </c>
      <c r="H299" t="n">
        <v>66</v>
      </c>
      <c r="I299" s="4">
        <f>INT(D299)</f>
        <v/>
      </c>
      <c r="J299">
        <f>IFERROR(VLOOKUP(C299,Merchants!$A$2:$D$41,2,FALSE),"Merchant not found")</f>
        <v/>
      </c>
      <c r="K299">
        <f>IFERROR(VLOOKUP(C299,Merchants!$A$2:$D$41,3,FALSE),"Merchant not found")</f>
        <v/>
      </c>
      <c r="L299">
        <f>IFERROR(VLOOKUP(C299,Merchants!$A$2:$D$41,4,FALSE),"Merchant not found")</f>
        <v/>
      </c>
      <c r="M299" s="5">
        <f>HLOOKUP(F299,Fee_Reference!$B$1:$E$2,2,FALSE)</f>
        <v/>
      </c>
      <c r="N299">
        <f>SUMIFS($E$2:$E$548,$C$2:$C$548,C299,$I$2:$I$548,I299)</f>
        <v/>
      </c>
      <c r="O299">
        <f>IF(J299="Merchant not found","Merchant not found",IF(AND(N299&gt;5000,L299&lt;&gt;"East"),"High-Value Merchant Day","Normal Merchant Day"))</f>
        <v/>
      </c>
    </row>
    <row r="300">
      <c r="A300" t="inlineStr">
        <is>
          <t>TXN100298</t>
        </is>
      </c>
      <c r="B300" t="n">
        <v>218</v>
      </c>
      <c r="C300" t="n">
        <v>6</v>
      </c>
      <c r="D300" s="3" t="n">
        <v>46031.11527777778</v>
      </c>
      <c r="E300" t="n">
        <v>99</v>
      </c>
      <c r="F300" t="inlineStr">
        <is>
          <t>UPI</t>
        </is>
      </c>
      <c r="G300" t="inlineStr">
        <is>
          <t>captured</t>
        </is>
      </c>
      <c r="H300" t="n">
        <v>55</v>
      </c>
      <c r="I300" s="4">
        <f>INT(D300)</f>
        <v/>
      </c>
      <c r="J300">
        <f>IFERROR(VLOOKUP(C300,Merchants!$A$2:$D$41,2,FALSE),"Merchant not found")</f>
        <v/>
      </c>
      <c r="K300">
        <f>IFERROR(VLOOKUP(C300,Merchants!$A$2:$D$41,3,FALSE),"Merchant not found")</f>
        <v/>
      </c>
      <c r="L300">
        <f>IFERROR(VLOOKUP(C300,Merchants!$A$2:$D$41,4,FALSE),"Merchant not found")</f>
        <v/>
      </c>
      <c r="M300" s="5">
        <f>HLOOKUP(F300,Fee_Reference!$B$1:$E$2,2,FALSE)</f>
        <v/>
      </c>
      <c r="N300">
        <f>SUMIFS($E$2:$E$548,$C$2:$C$548,C300,$I$2:$I$548,I300)</f>
        <v/>
      </c>
      <c r="O300">
        <f>IF(J300="Merchant not found","Merchant not found",IF(AND(N300&gt;5000,L300&lt;&gt;"East"),"High-Value Merchant Day","Normal Merchant Day"))</f>
        <v/>
      </c>
    </row>
    <row r="301">
      <c r="A301" t="inlineStr">
        <is>
          <t>TXN100299</t>
        </is>
      </c>
      <c r="B301" t="n">
        <v>151</v>
      </c>
      <c r="C301" t="n">
        <v>21</v>
      </c>
      <c r="D301" s="3" t="n">
        <v>46042.23194444444</v>
      </c>
      <c r="E301" t="n">
        <v>49</v>
      </c>
      <c r="F301" t="inlineStr">
        <is>
          <t>UPI</t>
        </is>
      </c>
      <c r="G301" t="inlineStr">
        <is>
          <t>captured</t>
        </is>
      </c>
      <c r="H301" t="n">
        <v>13</v>
      </c>
      <c r="I301" s="4">
        <f>INT(D301)</f>
        <v/>
      </c>
      <c r="J301">
        <f>IFERROR(VLOOKUP(C301,Merchants!$A$2:$D$41,2,FALSE),"Merchant not found")</f>
        <v/>
      </c>
      <c r="K301">
        <f>IFERROR(VLOOKUP(C301,Merchants!$A$2:$D$41,3,FALSE),"Merchant not found")</f>
        <v/>
      </c>
      <c r="L301">
        <f>IFERROR(VLOOKUP(C301,Merchants!$A$2:$D$41,4,FALSE),"Merchant not found")</f>
        <v/>
      </c>
      <c r="M301" s="5">
        <f>HLOOKUP(F301,Fee_Reference!$B$1:$E$2,2,FALSE)</f>
        <v/>
      </c>
      <c r="N301">
        <f>SUMIFS($E$2:$E$548,$C$2:$C$548,C301,$I$2:$I$548,I301)</f>
        <v/>
      </c>
      <c r="O301">
        <f>IF(J301="Merchant not found","Merchant not found",IF(AND(N301&gt;5000,L301&lt;&gt;"East"),"High-Value Merchant Day","Normal Merchant Day"))</f>
        <v/>
      </c>
    </row>
    <row r="302">
      <c r="A302" t="inlineStr">
        <is>
          <t>TXN100300</t>
        </is>
      </c>
      <c r="B302" t="n">
        <v>152</v>
      </c>
      <c r="C302" t="n">
        <v>20</v>
      </c>
      <c r="D302" s="3" t="n">
        <v>46025.44583333333</v>
      </c>
      <c r="E302" t="n">
        <v>49</v>
      </c>
      <c r="F302" t="inlineStr">
        <is>
          <t>UPI</t>
        </is>
      </c>
      <c r="G302" t="inlineStr">
        <is>
          <t>captured</t>
        </is>
      </c>
      <c r="H302" t="n">
        <v>57</v>
      </c>
      <c r="I302" s="4">
        <f>INT(D302)</f>
        <v/>
      </c>
      <c r="J302">
        <f>IFERROR(VLOOKUP(C302,Merchants!$A$2:$D$41,2,FALSE),"Merchant not found")</f>
        <v/>
      </c>
      <c r="K302">
        <f>IFERROR(VLOOKUP(C302,Merchants!$A$2:$D$41,3,FALSE),"Merchant not found")</f>
        <v/>
      </c>
      <c r="L302">
        <f>IFERROR(VLOOKUP(C302,Merchants!$A$2:$D$41,4,FALSE),"Merchant not found")</f>
        <v/>
      </c>
      <c r="M302" s="5">
        <f>HLOOKUP(F302,Fee_Reference!$B$1:$E$2,2,FALSE)</f>
        <v/>
      </c>
      <c r="N302">
        <f>SUMIFS($E$2:$E$548,$C$2:$C$548,C302,$I$2:$I$548,I302)</f>
        <v/>
      </c>
      <c r="O302">
        <f>IF(J302="Merchant not found","Merchant not found",IF(AND(N302&gt;5000,L302&lt;&gt;"East"),"High-Value Merchant Day","Normal Merchant Day"))</f>
        <v/>
      </c>
    </row>
    <row r="303">
      <c r="A303" t="inlineStr">
        <is>
          <t>TXN100301</t>
        </is>
      </c>
      <c r="B303" t="n">
        <v>86</v>
      </c>
      <c r="C303" t="n">
        <v>29</v>
      </c>
      <c r="D303" s="3" t="n">
        <v>46042.93541666667</v>
      </c>
      <c r="E303" t="n">
        <v>149</v>
      </c>
      <c r="F303" t="inlineStr">
        <is>
          <t>Card</t>
        </is>
      </c>
      <c r="G303" t="inlineStr">
        <is>
          <t>captured</t>
        </is>
      </c>
      <c r="H303" t="n">
        <v>44</v>
      </c>
      <c r="I303" s="4">
        <f>INT(D303)</f>
        <v/>
      </c>
      <c r="J303">
        <f>IFERROR(VLOOKUP(C303,Merchants!$A$2:$D$41,2,FALSE),"Merchant not found")</f>
        <v/>
      </c>
      <c r="K303">
        <f>IFERROR(VLOOKUP(C303,Merchants!$A$2:$D$41,3,FALSE),"Merchant not found")</f>
        <v/>
      </c>
      <c r="L303">
        <f>IFERROR(VLOOKUP(C303,Merchants!$A$2:$D$41,4,FALSE),"Merchant not found")</f>
        <v/>
      </c>
      <c r="M303" s="5">
        <f>HLOOKUP(F303,Fee_Reference!$B$1:$E$2,2,FALSE)</f>
        <v/>
      </c>
      <c r="N303">
        <f>SUMIFS($E$2:$E$548,$C$2:$C$548,C303,$I$2:$I$548,I303)</f>
        <v/>
      </c>
      <c r="O303">
        <f>IF(J303="Merchant not found","Merchant not found",IF(AND(N303&gt;5000,L303&lt;&gt;"East"),"High-Value Merchant Day","Normal Merchant Day"))</f>
        <v/>
      </c>
    </row>
    <row r="304">
      <c r="A304" t="inlineStr">
        <is>
          <t>TXN100302</t>
        </is>
      </c>
      <c r="B304" t="n">
        <v>181</v>
      </c>
      <c r="C304" t="n">
        <v>40</v>
      </c>
      <c r="D304" s="3" t="n">
        <v>46037.07361111111</v>
      </c>
      <c r="E304" t="n">
        <v>149</v>
      </c>
      <c r="F304" t="inlineStr">
        <is>
          <t>UPI</t>
        </is>
      </c>
      <c r="G304" t="inlineStr">
        <is>
          <t>captured</t>
        </is>
      </c>
      <c r="H304" t="n">
        <v>55</v>
      </c>
      <c r="I304" s="4">
        <f>INT(D304)</f>
        <v/>
      </c>
      <c r="J304">
        <f>IFERROR(VLOOKUP(C304,Merchants!$A$2:$D$41,2,FALSE),"Merchant not found")</f>
        <v/>
      </c>
      <c r="K304">
        <f>IFERROR(VLOOKUP(C304,Merchants!$A$2:$D$41,3,FALSE),"Merchant not found")</f>
        <v/>
      </c>
      <c r="L304">
        <f>IFERROR(VLOOKUP(C304,Merchants!$A$2:$D$41,4,FALSE),"Merchant not found")</f>
        <v/>
      </c>
      <c r="M304" s="5">
        <f>HLOOKUP(F304,Fee_Reference!$B$1:$E$2,2,FALSE)</f>
        <v/>
      </c>
      <c r="N304">
        <f>SUMIFS($E$2:$E$548,$C$2:$C$548,C304,$I$2:$I$548,I304)</f>
        <v/>
      </c>
      <c r="O304">
        <f>IF(J304="Merchant not found","Merchant not found",IF(AND(N304&gt;5000,L304&lt;&gt;"East"),"High-Value Merchant Day","Normal Merchant Day"))</f>
        <v/>
      </c>
    </row>
    <row r="305">
      <c r="A305" t="inlineStr">
        <is>
          <t>TXN100303</t>
        </is>
      </c>
      <c r="B305" t="n">
        <v>30</v>
      </c>
      <c r="C305" t="n">
        <v>5</v>
      </c>
      <c r="D305" s="3" t="n">
        <v>46031.86805555555</v>
      </c>
      <c r="E305" t="n">
        <v>299</v>
      </c>
      <c r="F305" t="inlineStr">
        <is>
          <t>UPI</t>
        </is>
      </c>
      <c r="G305" t="inlineStr">
        <is>
          <t>captured</t>
        </is>
      </c>
      <c r="H305" t="n">
        <v>85</v>
      </c>
      <c r="I305" s="4">
        <f>INT(D305)</f>
        <v/>
      </c>
      <c r="J305">
        <f>IFERROR(VLOOKUP(C305,Merchants!$A$2:$D$41,2,FALSE),"Merchant not found")</f>
        <v/>
      </c>
      <c r="K305">
        <f>IFERROR(VLOOKUP(C305,Merchants!$A$2:$D$41,3,FALSE),"Merchant not found")</f>
        <v/>
      </c>
      <c r="L305">
        <f>IFERROR(VLOOKUP(C305,Merchants!$A$2:$D$41,4,FALSE),"Merchant not found")</f>
        <v/>
      </c>
      <c r="M305" s="5">
        <f>HLOOKUP(F305,Fee_Reference!$B$1:$E$2,2,FALSE)</f>
        <v/>
      </c>
      <c r="N305">
        <f>SUMIFS($E$2:$E$548,$C$2:$C$548,C305,$I$2:$I$548,I305)</f>
        <v/>
      </c>
      <c r="O305">
        <f>IF(J305="Merchant not found","Merchant not found",IF(AND(N305&gt;5000,L305&lt;&gt;"East"),"High-Value Merchant Day","Normal Merchant Day"))</f>
        <v/>
      </c>
    </row>
    <row r="306">
      <c r="A306" t="inlineStr">
        <is>
          <t>TXN100304</t>
        </is>
      </c>
      <c r="B306" t="n">
        <v>263</v>
      </c>
      <c r="C306" t="n">
        <v>11</v>
      </c>
      <c r="D306" s="3" t="n">
        <v>46043.51597222222</v>
      </c>
      <c r="E306" t="n">
        <v>149</v>
      </c>
      <c r="F306" t="inlineStr">
        <is>
          <t>Wallet</t>
        </is>
      </c>
      <c r="G306" t="inlineStr">
        <is>
          <t>captured</t>
        </is>
      </c>
      <c r="H306" t="n">
        <v>3</v>
      </c>
      <c r="I306" s="4">
        <f>INT(D306)</f>
        <v/>
      </c>
      <c r="J306">
        <f>IFERROR(VLOOKUP(C306,Merchants!$A$2:$D$41,2,FALSE),"Merchant not found")</f>
        <v/>
      </c>
      <c r="K306">
        <f>IFERROR(VLOOKUP(C306,Merchants!$A$2:$D$41,3,FALSE),"Merchant not found")</f>
        <v/>
      </c>
      <c r="L306">
        <f>IFERROR(VLOOKUP(C306,Merchants!$A$2:$D$41,4,FALSE),"Merchant not found")</f>
        <v/>
      </c>
      <c r="M306" s="5">
        <f>HLOOKUP(F306,Fee_Reference!$B$1:$E$2,2,FALSE)</f>
        <v/>
      </c>
      <c r="N306">
        <f>SUMIFS($E$2:$E$548,$C$2:$C$548,C306,$I$2:$I$548,I306)</f>
        <v/>
      </c>
      <c r="O306">
        <f>IF(J306="Merchant not found","Merchant not found",IF(AND(N306&gt;5000,L306&lt;&gt;"East"),"High-Value Merchant Day","Normal Merchant Day"))</f>
        <v/>
      </c>
    </row>
    <row r="307">
      <c r="A307" t="inlineStr">
        <is>
          <t>TXN100305</t>
        </is>
      </c>
      <c r="B307" t="n">
        <v>225</v>
      </c>
      <c r="C307" t="n">
        <v>3</v>
      </c>
      <c r="D307" s="3" t="n">
        <v>46027.82152777778</v>
      </c>
      <c r="E307" t="n">
        <v>99</v>
      </c>
      <c r="F307" t="inlineStr">
        <is>
          <t>Netbanking</t>
        </is>
      </c>
      <c r="G307" t="inlineStr">
        <is>
          <t>captured</t>
        </is>
      </c>
      <c r="H307" t="n">
        <v>16</v>
      </c>
      <c r="I307" s="4">
        <f>INT(D307)</f>
        <v/>
      </c>
      <c r="J307">
        <f>IFERROR(VLOOKUP(C307,Merchants!$A$2:$D$41,2,FALSE),"Merchant not found")</f>
        <v/>
      </c>
      <c r="K307">
        <f>IFERROR(VLOOKUP(C307,Merchants!$A$2:$D$41,3,FALSE),"Merchant not found")</f>
        <v/>
      </c>
      <c r="L307">
        <f>IFERROR(VLOOKUP(C307,Merchants!$A$2:$D$41,4,FALSE),"Merchant not found")</f>
        <v/>
      </c>
      <c r="M307" s="5">
        <f>HLOOKUP(F307,Fee_Reference!$B$1:$E$2,2,FALSE)</f>
        <v/>
      </c>
      <c r="N307">
        <f>SUMIFS($E$2:$E$548,$C$2:$C$548,C307,$I$2:$I$548,I307)</f>
        <v/>
      </c>
      <c r="O307">
        <f>IF(J307="Merchant not found","Merchant not found",IF(AND(N307&gt;5000,L307&lt;&gt;"East"),"High-Value Merchant Day","Normal Merchant Day"))</f>
        <v/>
      </c>
    </row>
    <row r="308">
      <c r="A308" t="inlineStr">
        <is>
          <t>TXN100306</t>
        </is>
      </c>
      <c r="B308" t="n">
        <v>331</v>
      </c>
      <c r="C308" t="n">
        <v>24</v>
      </c>
      <c r="D308" s="3" t="n">
        <v>46025.32569444444</v>
      </c>
      <c r="E308" t="n">
        <v>49</v>
      </c>
      <c r="F308" t="inlineStr">
        <is>
          <t>Card</t>
        </is>
      </c>
      <c r="G308" t="inlineStr">
        <is>
          <t>captured</t>
        </is>
      </c>
      <c r="H308" t="n">
        <v>46</v>
      </c>
      <c r="I308" s="4">
        <f>INT(D308)</f>
        <v/>
      </c>
      <c r="J308">
        <f>IFERROR(VLOOKUP(C308,Merchants!$A$2:$D$41,2,FALSE),"Merchant not found")</f>
        <v/>
      </c>
      <c r="K308">
        <f>IFERROR(VLOOKUP(C308,Merchants!$A$2:$D$41,3,FALSE),"Merchant not found")</f>
        <v/>
      </c>
      <c r="L308">
        <f>IFERROR(VLOOKUP(C308,Merchants!$A$2:$D$41,4,FALSE),"Merchant not found")</f>
        <v/>
      </c>
      <c r="M308" s="5">
        <f>HLOOKUP(F308,Fee_Reference!$B$1:$E$2,2,FALSE)</f>
        <v/>
      </c>
      <c r="N308">
        <f>SUMIFS($E$2:$E$548,$C$2:$C$548,C308,$I$2:$I$548,I308)</f>
        <v/>
      </c>
      <c r="O308">
        <f>IF(J308="Merchant not found","Merchant not found",IF(AND(N308&gt;5000,L308&lt;&gt;"East"),"High-Value Merchant Day","Normal Merchant Day"))</f>
        <v/>
      </c>
    </row>
    <row r="309">
      <c r="A309" t="inlineStr">
        <is>
          <t>TXN100307</t>
        </is>
      </c>
      <c r="B309" t="n">
        <v>310</v>
      </c>
      <c r="C309" t="n">
        <v>10</v>
      </c>
      <c r="D309" s="3" t="n">
        <v>46035.75138888889</v>
      </c>
      <c r="E309" t="n">
        <v>1499</v>
      </c>
      <c r="F309" t="inlineStr">
        <is>
          <t>Card</t>
        </is>
      </c>
      <c r="G309" t="inlineStr">
        <is>
          <t>captured</t>
        </is>
      </c>
      <c r="H309" t="n">
        <v>86</v>
      </c>
      <c r="I309" s="4">
        <f>INT(D309)</f>
        <v/>
      </c>
      <c r="J309">
        <f>IFERROR(VLOOKUP(C309,Merchants!$A$2:$D$41,2,FALSE),"Merchant not found")</f>
        <v/>
      </c>
      <c r="K309">
        <f>IFERROR(VLOOKUP(C309,Merchants!$A$2:$D$41,3,FALSE),"Merchant not found")</f>
        <v/>
      </c>
      <c r="L309">
        <f>IFERROR(VLOOKUP(C309,Merchants!$A$2:$D$41,4,FALSE),"Merchant not found")</f>
        <v/>
      </c>
      <c r="M309" s="5">
        <f>HLOOKUP(F309,Fee_Reference!$B$1:$E$2,2,FALSE)</f>
        <v/>
      </c>
      <c r="N309">
        <f>SUMIFS($E$2:$E$548,$C$2:$C$548,C309,$I$2:$I$548,I309)</f>
        <v/>
      </c>
      <c r="O309">
        <f>IF(J309="Merchant not found","Merchant not found",IF(AND(N309&gt;5000,L309&lt;&gt;"East"),"High-Value Merchant Day","Normal Merchant Day"))</f>
        <v/>
      </c>
    </row>
    <row r="310">
      <c r="A310" t="inlineStr">
        <is>
          <t>TXN100308</t>
        </is>
      </c>
      <c r="B310" t="n">
        <v>228</v>
      </c>
      <c r="C310" t="n">
        <v>5</v>
      </c>
      <c r="D310" s="3" t="n">
        <v>46037.47430555556</v>
      </c>
      <c r="E310" t="n">
        <v>49</v>
      </c>
      <c r="F310" t="inlineStr">
        <is>
          <t>UPI</t>
        </is>
      </c>
      <c r="G310" t="inlineStr">
        <is>
          <t>captured</t>
        </is>
      </c>
      <c r="H310" t="n">
        <v>73</v>
      </c>
      <c r="I310" s="4">
        <f>INT(D310)</f>
        <v/>
      </c>
      <c r="J310">
        <f>IFERROR(VLOOKUP(C310,Merchants!$A$2:$D$41,2,FALSE),"Merchant not found")</f>
        <v/>
      </c>
      <c r="K310">
        <f>IFERROR(VLOOKUP(C310,Merchants!$A$2:$D$41,3,FALSE),"Merchant not found")</f>
        <v/>
      </c>
      <c r="L310">
        <f>IFERROR(VLOOKUP(C310,Merchants!$A$2:$D$41,4,FALSE),"Merchant not found")</f>
        <v/>
      </c>
      <c r="M310" s="5">
        <f>HLOOKUP(F310,Fee_Reference!$B$1:$E$2,2,FALSE)</f>
        <v/>
      </c>
      <c r="N310">
        <f>SUMIFS($E$2:$E$548,$C$2:$C$548,C310,$I$2:$I$548,I310)</f>
        <v/>
      </c>
      <c r="O310">
        <f>IF(J310="Merchant not found","Merchant not found",IF(AND(N310&gt;5000,L310&lt;&gt;"East"),"High-Value Merchant Day","Normal Merchant Day"))</f>
        <v/>
      </c>
    </row>
    <row r="311">
      <c r="A311" t="inlineStr">
        <is>
          <t>TXN100309</t>
        </is>
      </c>
      <c r="B311" t="n">
        <v>204</v>
      </c>
      <c r="C311" t="n">
        <v>21</v>
      </c>
      <c r="D311" s="3" t="n">
        <v>46027.68263888889</v>
      </c>
      <c r="E311" t="n">
        <v>499</v>
      </c>
      <c r="F311" t="inlineStr">
        <is>
          <t>UPI</t>
        </is>
      </c>
      <c r="G311" t="inlineStr">
        <is>
          <t>captured</t>
        </is>
      </c>
      <c r="H311" t="n">
        <v>83</v>
      </c>
      <c r="I311" s="4">
        <f>INT(D311)</f>
        <v/>
      </c>
      <c r="J311">
        <f>IFERROR(VLOOKUP(C311,Merchants!$A$2:$D$41,2,FALSE),"Merchant not found")</f>
        <v/>
      </c>
      <c r="K311">
        <f>IFERROR(VLOOKUP(C311,Merchants!$A$2:$D$41,3,FALSE),"Merchant not found")</f>
        <v/>
      </c>
      <c r="L311">
        <f>IFERROR(VLOOKUP(C311,Merchants!$A$2:$D$41,4,FALSE),"Merchant not found")</f>
        <v/>
      </c>
      <c r="M311" s="5">
        <f>HLOOKUP(F311,Fee_Reference!$B$1:$E$2,2,FALSE)</f>
        <v/>
      </c>
      <c r="N311">
        <f>SUMIFS($E$2:$E$548,$C$2:$C$548,C311,$I$2:$I$548,I311)</f>
        <v/>
      </c>
      <c r="O311">
        <f>IF(J311="Merchant not found","Merchant not found",IF(AND(N311&gt;5000,L311&lt;&gt;"East"),"High-Value Merchant Day","Normal Merchant Day"))</f>
        <v/>
      </c>
    </row>
    <row r="312">
      <c r="A312" t="inlineStr">
        <is>
          <t>TXN100310</t>
        </is>
      </c>
      <c r="B312" t="n">
        <v>14</v>
      </c>
      <c r="C312" t="n">
        <v>12</v>
      </c>
      <c r="D312" s="3" t="n">
        <v>46031.29652777778</v>
      </c>
      <c r="E312" t="n">
        <v>799</v>
      </c>
      <c r="F312" t="inlineStr">
        <is>
          <t>Netbanking</t>
        </is>
      </c>
      <c r="G312" t="inlineStr">
        <is>
          <t>captured</t>
        </is>
      </c>
      <c r="H312" t="n">
        <v>63</v>
      </c>
      <c r="I312" s="4">
        <f>INT(D312)</f>
        <v/>
      </c>
      <c r="J312">
        <f>IFERROR(VLOOKUP(C312,Merchants!$A$2:$D$41,2,FALSE),"Merchant not found")</f>
        <v/>
      </c>
      <c r="K312">
        <f>IFERROR(VLOOKUP(C312,Merchants!$A$2:$D$41,3,FALSE),"Merchant not found")</f>
        <v/>
      </c>
      <c r="L312">
        <f>IFERROR(VLOOKUP(C312,Merchants!$A$2:$D$41,4,FALSE),"Merchant not found")</f>
        <v/>
      </c>
      <c r="M312" s="5">
        <f>HLOOKUP(F312,Fee_Reference!$B$1:$E$2,2,FALSE)</f>
        <v/>
      </c>
      <c r="N312">
        <f>SUMIFS($E$2:$E$548,$C$2:$C$548,C312,$I$2:$I$548,I312)</f>
        <v/>
      </c>
      <c r="O312">
        <f>IF(J312="Merchant not found","Merchant not found",IF(AND(N312&gt;5000,L312&lt;&gt;"East"),"High-Value Merchant Day","Normal Merchant Day"))</f>
        <v/>
      </c>
    </row>
    <row r="313">
      <c r="A313" t="inlineStr">
        <is>
          <t>TXN100311</t>
        </is>
      </c>
      <c r="B313" t="n">
        <v>288</v>
      </c>
      <c r="C313" t="n">
        <v>8</v>
      </c>
      <c r="D313" s="3" t="n">
        <v>46039.54027777778</v>
      </c>
      <c r="E313" t="n">
        <v>49</v>
      </c>
      <c r="F313" t="inlineStr">
        <is>
          <t>UPI</t>
        </is>
      </c>
      <c r="G313" t="inlineStr">
        <is>
          <t>captured</t>
        </is>
      </c>
      <c r="H313" t="n">
        <v>33</v>
      </c>
      <c r="I313" s="4">
        <f>INT(D313)</f>
        <v/>
      </c>
      <c r="J313">
        <f>IFERROR(VLOOKUP(C313,Merchants!$A$2:$D$41,2,FALSE),"Merchant not found")</f>
        <v/>
      </c>
      <c r="K313">
        <f>IFERROR(VLOOKUP(C313,Merchants!$A$2:$D$41,3,FALSE),"Merchant not found")</f>
        <v/>
      </c>
      <c r="L313">
        <f>IFERROR(VLOOKUP(C313,Merchants!$A$2:$D$41,4,FALSE),"Merchant not found")</f>
        <v/>
      </c>
      <c r="M313" s="5">
        <f>HLOOKUP(F313,Fee_Reference!$B$1:$E$2,2,FALSE)</f>
        <v/>
      </c>
      <c r="N313">
        <f>SUMIFS($E$2:$E$548,$C$2:$C$548,C313,$I$2:$I$548,I313)</f>
        <v/>
      </c>
      <c r="O313">
        <f>IF(J313="Merchant not found","Merchant not found",IF(AND(N313&gt;5000,L313&lt;&gt;"East"),"High-Value Merchant Day","Normal Merchant Day"))</f>
        <v/>
      </c>
    </row>
    <row r="314">
      <c r="A314" t="inlineStr">
        <is>
          <t>TXN100312</t>
        </is>
      </c>
      <c r="B314" t="n">
        <v>229</v>
      </c>
      <c r="C314" t="n">
        <v>14</v>
      </c>
      <c r="D314" s="3" t="n">
        <v>46047.36458333334</v>
      </c>
      <c r="E314" t="n">
        <v>1499</v>
      </c>
      <c r="F314" t="inlineStr">
        <is>
          <t>UPI</t>
        </is>
      </c>
      <c r="G314" t="inlineStr">
        <is>
          <t>captured</t>
        </is>
      </c>
      <c r="H314" t="n">
        <v>78</v>
      </c>
      <c r="I314" s="4">
        <f>INT(D314)</f>
        <v/>
      </c>
      <c r="J314">
        <f>IFERROR(VLOOKUP(C314,Merchants!$A$2:$D$41,2,FALSE),"Merchant not found")</f>
        <v/>
      </c>
      <c r="K314">
        <f>IFERROR(VLOOKUP(C314,Merchants!$A$2:$D$41,3,FALSE),"Merchant not found")</f>
        <v/>
      </c>
      <c r="L314">
        <f>IFERROR(VLOOKUP(C314,Merchants!$A$2:$D$41,4,FALSE),"Merchant not found")</f>
        <v/>
      </c>
      <c r="M314" s="5">
        <f>HLOOKUP(F314,Fee_Reference!$B$1:$E$2,2,FALSE)</f>
        <v/>
      </c>
      <c r="N314">
        <f>SUMIFS($E$2:$E$548,$C$2:$C$548,C314,$I$2:$I$548,I314)</f>
        <v/>
      </c>
      <c r="O314">
        <f>IF(J314="Merchant not found","Merchant not found",IF(AND(N314&gt;5000,L314&lt;&gt;"East"),"High-Value Merchant Day","Normal Merchant Day"))</f>
        <v/>
      </c>
    </row>
    <row r="315">
      <c r="A315" t="inlineStr">
        <is>
          <t>TXN100313</t>
        </is>
      </c>
      <c r="B315" t="n">
        <v>252</v>
      </c>
      <c r="C315" t="n">
        <v>13</v>
      </c>
      <c r="D315" s="3" t="n">
        <v>46032.95694444444</v>
      </c>
      <c r="E315" t="n">
        <v>99</v>
      </c>
      <c r="F315" t="inlineStr">
        <is>
          <t>Wallet</t>
        </is>
      </c>
      <c r="G315" t="inlineStr">
        <is>
          <t>captured</t>
        </is>
      </c>
      <c r="H315" t="n">
        <v>15</v>
      </c>
      <c r="I315" s="4">
        <f>INT(D315)</f>
        <v/>
      </c>
      <c r="J315">
        <f>IFERROR(VLOOKUP(C315,Merchants!$A$2:$D$41,2,FALSE),"Merchant not found")</f>
        <v/>
      </c>
      <c r="K315">
        <f>IFERROR(VLOOKUP(C315,Merchants!$A$2:$D$41,3,FALSE),"Merchant not found")</f>
        <v/>
      </c>
      <c r="L315">
        <f>IFERROR(VLOOKUP(C315,Merchants!$A$2:$D$41,4,FALSE),"Merchant not found")</f>
        <v/>
      </c>
      <c r="M315" s="5">
        <f>HLOOKUP(F315,Fee_Reference!$B$1:$E$2,2,FALSE)</f>
        <v/>
      </c>
      <c r="N315">
        <f>SUMIFS($E$2:$E$548,$C$2:$C$548,C315,$I$2:$I$548,I315)</f>
        <v/>
      </c>
      <c r="O315">
        <f>IF(J315="Merchant not found","Merchant not found",IF(AND(N315&gt;5000,L315&lt;&gt;"East"),"High-Value Merchant Day","Normal Merchant Day"))</f>
        <v/>
      </c>
    </row>
    <row r="316">
      <c r="A316" t="inlineStr">
        <is>
          <t>TXN100314</t>
        </is>
      </c>
      <c r="B316" t="n">
        <v>89</v>
      </c>
      <c r="C316" t="n">
        <v>29</v>
      </c>
      <c r="D316" s="3" t="n">
        <v>46027.10277777778</v>
      </c>
      <c r="E316" t="n">
        <v>799</v>
      </c>
      <c r="F316" t="inlineStr">
        <is>
          <t>UPI</t>
        </is>
      </c>
      <c r="G316" t="inlineStr">
        <is>
          <t>captured</t>
        </is>
      </c>
      <c r="H316" t="n">
        <v>11</v>
      </c>
      <c r="I316" s="4">
        <f>INT(D316)</f>
        <v/>
      </c>
      <c r="J316">
        <f>IFERROR(VLOOKUP(C316,Merchants!$A$2:$D$41,2,FALSE),"Merchant not found")</f>
        <v/>
      </c>
      <c r="K316">
        <f>IFERROR(VLOOKUP(C316,Merchants!$A$2:$D$41,3,FALSE),"Merchant not found")</f>
        <v/>
      </c>
      <c r="L316">
        <f>IFERROR(VLOOKUP(C316,Merchants!$A$2:$D$41,4,FALSE),"Merchant not found")</f>
        <v/>
      </c>
      <c r="M316" s="5">
        <f>HLOOKUP(F316,Fee_Reference!$B$1:$E$2,2,FALSE)</f>
        <v/>
      </c>
      <c r="N316">
        <f>SUMIFS($E$2:$E$548,$C$2:$C$548,C316,$I$2:$I$548,I316)</f>
        <v/>
      </c>
      <c r="O316">
        <f>IF(J316="Merchant not found","Merchant not found",IF(AND(N316&gt;5000,L316&lt;&gt;"East"),"High-Value Merchant Day","Normal Merchant Day"))</f>
        <v/>
      </c>
    </row>
    <row r="317">
      <c r="A317" t="inlineStr">
        <is>
          <t>TXN100315</t>
        </is>
      </c>
      <c r="B317" t="n">
        <v>164</v>
      </c>
      <c r="C317" t="n">
        <v>23</v>
      </c>
      <c r="D317" s="3" t="n">
        <v>46048.9125</v>
      </c>
      <c r="E317" t="n">
        <v>49</v>
      </c>
      <c r="F317" t="inlineStr">
        <is>
          <t>Netbanking</t>
        </is>
      </c>
      <c r="G317" t="inlineStr">
        <is>
          <t>captured</t>
        </is>
      </c>
      <c r="H317" t="n">
        <v>90</v>
      </c>
      <c r="I317" s="4">
        <f>INT(D317)</f>
        <v/>
      </c>
      <c r="J317">
        <f>IFERROR(VLOOKUP(C317,Merchants!$A$2:$D$41,2,FALSE),"Merchant not found")</f>
        <v/>
      </c>
      <c r="K317">
        <f>IFERROR(VLOOKUP(C317,Merchants!$A$2:$D$41,3,FALSE),"Merchant not found")</f>
        <v/>
      </c>
      <c r="L317">
        <f>IFERROR(VLOOKUP(C317,Merchants!$A$2:$D$41,4,FALSE),"Merchant not found")</f>
        <v/>
      </c>
      <c r="M317" s="5">
        <f>HLOOKUP(F317,Fee_Reference!$B$1:$E$2,2,FALSE)</f>
        <v/>
      </c>
      <c r="N317">
        <f>SUMIFS($E$2:$E$548,$C$2:$C$548,C317,$I$2:$I$548,I317)</f>
        <v/>
      </c>
      <c r="O317">
        <f>IF(J317="Merchant not found","Merchant not found",IF(AND(N317&gt;5000,L317&lt;&gt;"East"),"High-Value Merchant Day","Normal Merchant Day"))</f>
        <v/>
      </c>
    </row>
    <row r="318">
      <c r="A318" t="inlineStr">
        <is>
          <t>TXN100316</t>
        </is>
      </c>
      <c r="B318" t="n">
        <v>149</v>
      </c>
      <c r="C318" t="n">
        <v>20</v>
      </c>
      <c r="D318" s="3" t="n">
        <v>46025.73194444444</v>
      </c>
      <c r="E318" t="n">
        <v>299</v>
      </c>
      <c r="F318" t="inlineStr">
        <is>
          <t>Wallet</t>
        </is>
      </c>
      <c r="G318" t="inlineStr">
        <is>
          <t>captured</t>
        </is>
      </c>
      <c r="H318" t="n">
        <v>20</v>
      </c>
      <c r="I318" s="4">
        <f>INT(D318)</f>
        <v/>
      </c>
      <c r="J318">
        <f>IFERROR(VLOOKUP(C318,Merchants!$A$2:$D$41,2,FALSE),"Merchant not found")</f>
        <v/>
      </c>
      <c r="K318">
        <f>IFERROR(VLOOKUP(C318,Merchants!$A$2:$D$41,3,FALSE),"Merchant not found")</f>
        <v/>
      </c>
      <c r="L318">
        <f>IFERROR(VLOOKUP(C318,Merchants!$A$2:$D$41,4,FALSE),"Merchant not found")</f>
        <v/>
      </c>
      <c r="M318" s="5">
        <f>HLOOKUP(F318,Fee_Reference!$B$1:$E$2,2,FALSE)</f>
        <v/>
      </c>
      <c r="N318">
        <f>SUMIFS($E$2:$E$548,$C$2:$C$548,C318,$I$2:$I$548,I318)</f>
        <v/>
      </c>
      <c r="O318">
        <f>IF(J318="Merchant not found","Merchant not found",IF(AND(N318&gt;5000,L318&lt;&gt;"East"),"High-Value Merchant Day","Normal Merchant Day"))</f>
        <v/>
      </c>
    </row>
    <row r="319">
      <c r="A319" t="inlineStr">
        <is>
          <t>TXN100317</t>
        </is>
      </c>
      <c r="B319" t="n">
        <v>327</v>
      </c>
      <c r="C319" t="n">
        <v>12</v>
      </c>
      <c r="D319" s="3" t="n">
        <v>46045.95763888889</v>
      </c>
      <c r="E319" t="n">
        <v>49</v>
      </c>
      <c r="F319" t="inlineStr">
        <is>
          <t>Netbanking</t>
        </is>
      </c>
      <c r="G319" t="inlineStr">
        <is>
          <t>captured</t>
        </is>
      </c>
      <c r="H319" t="n">
        <v>46</v>
      </c>
      <c r="I319" s="4">
        <f>INT(D319)</f>
        <v/>
      </c>
      <c r="J319">
        <f>IFERROR(VLOOKUP(C319,Merchants!$A$2:$D$41,2,FALSE),"Merchant not found")</f>
        <v/>
      </c>
      <c r="K319">
        <f>IFERROR(VLOOKUP(C319,Merchants!$A$2:$D$41,3,FALSE),"Merchant not found")</f>
        <v/>
      </c>
      <c r="L319">
        <f>IFERROR(VLOOKUP(C319,Merchants!$A$2:$D$41,4,FALSE),"Merchant not found")</f>
        <v/>
      </c>
      <c r="M319" s="5">
        <f>HLOOKUP(F319,Fee_Reference!$B$1:$E$2,2,FALSE)</f>
        <v/>
      </c>
      <c r="N319">
        <f>SUMIFS($E$2:$E$548,$C$2:$C$548,C319,$I$2:$I$548,I319)</f>
        <v/>
      </c>
      <c r="O319">
        <f>IF(J319="Merchant not found","Merchant not found",IF(AND(N319&gt;5000,L319&lt;&gt;"East"),"High-Value Merchant Day","Normal Merchant Day"))</f>
        <v/>
      </c>
    </row>
    <row r="320">
      <c r="A320" t="inlineStr">
        <is>
          <t>TXN100318</t>
        </is>
      </c>
      <c r="B320" t="n">
        <v>103</v>
      </c>
      <c r="C320" t="n">
        <v>9</v>
      </c>
      <c r="D320" s="3" t="n">
        <v>46039.29652777778</v>
      </c>
      <c r="E320" t="n">
        <v>149</v>
      </c>
      <c r="F320" t="inlineStr">
        <is>
          <t>UPI</t>
        </is>
      </c>
      <c r="G320" t="inlineStr">
        <is>
          <t>captured</t>
        </is>
      </c>
      <c r="H320" t="n">
        <v>30</v>
      </c>
      <c r="I320" s="4">
        <f>INT(D320)</f>
        <v/>
      </c>
      <c r="J320">
        <f>IFERROR(VLOOKUP(C320,Merchants!$A$2:$D$41,2,FALSE),"Merchant not found")</f>
        <v/>
      </c>
      <c r="K320">
        <f>IFERROR(VLOOKUP(C320,Merchants!$A$2:$D$41,3,FALSE),"Merchant not found")</f>
        <v/>
      </c>
      <c r="L320">
        <f>IFERROR(VLOOKUP(C320,Merchants!$A$2:$D$41,4,FALSE),"Merchant not found")</f>
        <v/>
      </c>
      <c r="M320" s="5">
        <f>HLOOKUP(F320,Fee_Reference!$B$1:$E$2,2,FALSE)</f>
        <v/>
      </c>
      <c r="N320">
        <f>SUMIFS($E$2:$E$548,$C$2:$C$548,C320,$I$2:$I$548,I320)</f>
        <v/>
      </c>
      <c r="O320">
        <f>IF(J320="Merchant not found","Merchant not found",IF(AND(N320&gt;5000,L320&lt;&gt;"East"),"High-Value Merchant Day","Normal Merchant Day"))</f>
        <v/>
      </c>
    </row>
    <row r="321">
      <c r="A321" t="inlineStr">
        <is>
          <t>TXN100319</t>
        </is>
      </c>
      <c r="B321" t="n">
        <v>185</v>
      </c>
      <c r="C321" t="n">
        <v>36</v>
      </c>
      <c r="D321" s="3" t="n">
        <v>46048.62569444445</v>
      </c>
      <c r="E321" t="n">
        <v>49</v>
      </c>
      <c r="F321" t="inlineStr">
        <is>
          <t>Wallet</t>
        </is>
      </c>
      <c r="G321" t="inlineStr">
        <is>
          <t>captured</t>
        </is>
      </c>
      <c r="H321" t="n">
        <v>73</v>
      </c>
      <c r="I321" s="4">
        <f>INT(D321)</f>
        <v/>
      </c>
      <c r="J321">
        <f>IFERROR(VLOOKUP(C321,Merchants!$A$2:$D$41,2,FALSE),"Merchant not found")</f>
        <v/>
      </c>
      <c r="K321">
        <f>IFERROR(VLOOKUP(C321,Merchants!$A$2:$D$41,3,FALSE),"Merchant not found")</f>
        <v/>
      </c>
      <c r="L321">
        <f>IFERROR(VLOOKUP(C321,Merchants!$A$2:$D$41,4,FALSE),"Merchant not found")</f>
        <v/>
      </c>
      <c r="M321" s="5">
        <f>HLOOKUP(F321,Fee_Reference!$B$1:$E$2,2,FALSE)</f>
        <v/>
      </c>
      <c r="N321">
        <f>SUMIFS($E$2:$E$548,$C$2:$C$548,C321,$I$2:$I$548,I321)</f>
        <v/>
      </c>
      <c r="O321">
        <f>IF(J321="Merchant not found","Merchant not found",IF(AND(N321&gt;5000,L321&lt;&gt;"East"),"High-Value Merchant Day","Normal Merchant Day"))</f>
        <v/>
      </c>
    </row>
    <row r="322">
      <c r="A322" t="inlineStr">
        <is>
          <t>TXN100320</t>
        </is>
      </c>
      <c r="B322" t="n">
        <v>283</v>
      </c>
      <c r="C322" t="n">
        <v>9</v>
      </c>
      <c r="D322" s="3" t="n">
        <v>46034.61875</v>
      </c>
      <c r="E322" t="n">
        <v>299</v>
      </c>
      <c r="F322" t="inlineStr">
        <is>
          <t>UPI</t>
        </is>
      </c>
      <c r="G322" t="inlineStr">
        <is>
          <t>captured</t>
        </is>
      </c>
      <c r="H322" t="n">
        <v>78</v>
      </c>
      <c r="I322" s="4">
        <f>INT(D322)</f>
        <v/>
      </c>
      <c r="J322">
        <f>IFERROR(VLOOKUP(C322,Merchants!$A$2:$D$41,2,FALSE),"Merchant not found")</f>
        <v/>
      </c>
      <c r="K322">
        <f>IFERROR(VLOOKUP(C322,Merchants!$A$2:$D$41,3,FALSE),"Merchant not found")</f>
        <v/>
      </c>
      <c r="L322">
        <f>IFERROR(VLOOKUP(C322,Merchants!$A$2:$D$41,4,FALSE),"Merchant not found")</f>
        <v/>
      </c>
      <c r="M322" s="5">
        <f>HLOOKUP(F322,Fee_Reference!$B$1:$E$2,2,FALSE)</f>
        <v/>
      </c>
      <c r="N322">
        <f>SUMIFS($E$2:$E$548,$C$2:$C$548,C322,$I$2:$I$548,I322)</f>
        <v/>
      </c>
      <c r="O322">
        <f>IF(J322="Merchant not found","Merchant not found",IF(AND(N322&gt;5000,L322&lt;&gt;"East"),"High-Value Merchant Day","Normal Merchant Day"))</f>
        <v/>
      </c>
    </row>
    <row r="323">
      <c r="A323" t="inlineStr">
        <is>
          <t>TXN100321</t>
        </is>
      </c>
      <c r="B323" t="n">
        <v>159</v>
      </c>
      <c r="C323" t="n">
        <v>26</v>
      </c>
      <c r="D323" s="3" t="n">
        <v>46051.08611111111</v>
      </c>
      <c r="E323" t="n">
        <v>99</v>
      </c>
      <c r="F323" t="inlineStr">
        <is>
          <t>UPI</t>
        </is>
      </c>
      <c r="G323" t="inlineStr">
        <is>
          <t>captured</t>
        </is>
      </c>
      <c r="H323" t="n">
        <v>91</v>
      </c>
      <c r="I323" s="4">
        <f>INT(D323)</f>
        <v/>
      </c>
      <c r="J323">
        <f>IFERROR(VLOOKUP(C323,Merchants!$A$2:$D$41,2,FALSE),"Merchant not found")</f>
        <v/>
      </c>
      <c r="K323">
        <f>IFERROR(VLOOKUP(C323,Merchants!$A$2:$D$41,3,FALSE),"Merchant not found")</f>
        <v/>
      </c>
      <c r="L323">
        <f>IFERROR(VLOOKUP(C323,Merchants!$A$2:$D$41,4,FALSE),"Merchant not found")</f>
        <v/>
      </c>
      <c r="M323" s="5">
        <f>HLOOKUP(F323,Fee_Reference!$B$1:$E$2,2,FALSE)</f>
        <v/>
      </c>
      <c r="N323">
        <f>SUMIFS($E$2:$E$548,$C$2:$C$548,C323,$I$2:$I$548,I323)</f>
        <v/>
      </c>
      <c r="O323">
        <f>IF(J323="Merchant not found","Merchant not found",IF(AND(N323&gt;5000,L323&lt;&gt;"East"),"High-Value Merchant Day","Normal Merchant Day"))</f>
        <v/>
      </c>
    </row>
    <row r="324">
      <c r="A324" t="inlineStr">
        <is>
          <t>TXN100322</t>
        </is>
      </c>
      <c r="B324" t="n">
        <v>211</v>
      </c>
      <c r="C324" t="n">
        <v>27</v>
      </c>
      <c r="D324" s="3" t="n">
        <v>46046.64791666667</v>
      </c>
      <c r="E324" t="n">
        <v>99</v>
      </c>
      <c r="F324" t="inlineStr">
        <is>
          <t>Wallet</t>
        </is>
      </c>
      <c r="G324" t="inlineStr">
        <is>
          <t>captured</t>
        </is>
      </c>
      <c r="H324" t="n">
        <v>73</v>
      </c>
      <c r="I324" s="4">
        <f>INT(D324)</f>
        <v/>
      </c>
      <c r="J324">
        <f>IFERROR(VLOOKUP(C324,Merchants!$A$2:$D$41,2,FALSE),"Merchant not found")</f>
        <v/>
      </c>
      <c r="K324">
        <f>IFERROR(VLOOKUP(C324,Merchants!$A$2:$D$41,3,FALSE),"Merchant not found")</f>
        <v/>
      </c>
      <c r="L324">
        <f>IFERROR(VLOOKUP(C324,Merchants!$A$2:$D$41,4,FALSE),"Merchant not found")</f>
        <v/>
      </c>
      <c r="M324" s="5">
        <f>HLOOKUP(F324,Fee_Reference!$B$1:$E$2,2,FALSE)</f>
        <v/>
      </c>
      <c r="N324">
        <f>SUMIFS($E$2:$E$548,$C$2:$C$548,C324,$I$2:$I$548,I324)</f>
        <v/>
      </c>
      <c r="O324">
        <f>IF(J324="Merchant not found","Merchant not found",IF(AND(N324&gt;5000,L324&lt;&gt;"East"),"High-Value Merchant Day","Normal Merchant Day"))</f>
        <v/>
      </c>
    </row>
    <row r="325">
      <c r="A325" t="inlineStr">
        <is>
          <t>TXN100323</t>
        </is>
      </c>
      <c r="B325" t="n">
        <v>329</v>
      </c>
      <c r="C325" t="n">
        <v>5</v>
      </c>
      <c r="D325" s="3" t="n">
        <v>46025.18055555555</v>
      </c>
      <c r="E325" t="n">
        <v>499</v>
      </c>
      <c r="F325" t="inlineStr">
        <is>
          <t>Netbanking</t>
        </is>
      </c>
      <c r="G325" t="inlineStr">
        <is>
          <t>captured</t>
        </is>
      </c>
      <c r="H325" t="n">
        <v>57</v>
      </c>
      <c r="I325" s="4">
        <f>INT(D325)</f>
        <v/>
      </c>
      <c r="J325">
        <f>IFERROR(VLOOKUP(C325,Merchants!$A$2:$D$41,2,FALSE),"Merchant not found")</f>
        <v/>
      </c>
      <c r="K325">
        <f>IFERROR(VLOOKUP(C325,Merchants!$A$2:$D$41,3,FALSE),"Merchant not found")</f>
        <v/>
      </c>
      <c r="L325">
        <f>IFERROR(VLOOKUP(C325,Merchants!$A$2:$D$41,4,FALSE),"Merchant not found")</f>
        <v/>
      </c>
      <c r="M325" s="5">
        <f>HLOOKUP(F325,Fee_Reference!$B$1:$E$2,2,FALSE)</f>
        <v/>
      </c>
      <c r="N325">
        <f>SUMIFS($E$2:$E$548,$C$2:$C$548,C325,$I$2:$I$548,I325)</f>
        <v/>
      </c>
      <c r="O325">
        <f>IF(J325="Merchant not found","Merchant not found",IF(AND(N325&gt;5000,L325&lt;&gt;"East"),"High-Value Merchant Day","Normal Merchant Day"))</f>
        <v/>
      </c>
    </row>
    <row r="326">
      <c r="A326" t="inlineStr">
        <is>
          <t>TXN100324</t>
        </is>
      </c>
      <c r="B326" t="n">
        <v>177</v>
      </c>
      <c r="C326" t="n">
        <v>9</v>
      </c>
      <c r="D326" s="3" t="n">
        <v>46037.89791666667</v>
      </c>
      <c r="E326" t="n">
        <v>99</v>
      </c>
      <c r="F326" t="inlineStr">
        <is>
          <t>UPI</t>
        </is>
      </c>
      <c r="G326" t="inlineStr">
        <is>
          <t>captured</t>
        </is>
      </c>
      <c r="H326" t="n">
        <v>99</v>
      </c>
      <c r="I326" s="4">
        <f>INT(D326)</f>
        <v/>
      </c>
      <c r="J326">
        <f>IFERROR(VLOOKUP(C326,Merchants!$A$2:$D$41,2,FALSE),"Merchant not found")</f>
        <v/>
      </c>
      <c r="K326">
        <f>IFERROR(VLOOKUP(C326,Merchants!$A$2:$D$41,3,FALSE),"Merchant not found")</f>
        <v/>
      </c>
      <c r="L326">
        <f>IFERROR(VLOOKUP(C326,Merchants!$A$2:$D$41,4,FALSE),"Merchant not found")</f>
        <v/>
      </c>
      <c r="M326" s="5">
        <f>HLOOKUP(F326,Fee_Reference!$B$1:$E$2,2,FALSE)</f>
        <v/>
      </c>
      <c r="N326">
        <f>SUMIFS($E$2:$E$548,$C$2:$C$548,C326,$I$2:$I$548,I326)</f>
        <v/>
      </c>
      <c r="O326">
        <f>IF(J326="Merchant not found","Merchant not found",IF(AND(N326&gt;5000,L326&lt;&gt;"East"),"High-Value Merchant Day","Normal Merchant Day"))</f>
        <v/>
      </c>
    </row>
    <row r="327">
      <c r="A327" t="inlineStr">
        <is>
          <t>TXN100325</t>
        </is>
      </c>
      <c r="B327" t="n">
        <v>94</v>
      </c>
      <c r="C327" t="n">
        <v>9</v>
      </c>
      <c r="D327" s="3" t="n">
        <v>46040.85902777778</v>
      </c>
      <c r="E327" t="n">
        <v>299</v>
      </c>
      <c r="F327" t="inlineStr">
        <is>
          <t>UPI</t>
        </is>
      </c>
      <c r="G327" t="inlineStr">
        <is>
          <t>captured</t>
        </is>
      </c>
      <c r="H327" t="n">
        <v>55</v>
      </c>
      <c r="I327" s="4">
        <f>INT(D327)</f>
        <v/>
      </c>
      <c r="J327">
        <f>IFERROR(VLOOKUP(C327,Merchants!$A$2:$D$41,2,FALSE),"Merchant not found")</f>
        <v/>
      </c>
      <c r="K327">
        <f>IFERROR(VLOOKUP(C327,Merchants!$A$2:$D$41,3,FALSE),"Merchant not found")</f>
        <v/>
      </c>
      <c r="L327">
        <f>IFERROR(VLOOKUP(C327,Merchants!$A$2:$D$41,4,FALSE),"Merchant not found")</f>
        <v/>
      </c>
      <c r="M327" s="5">
        <f>HLOOKUP(F327,Fee_Reference!$B$1:$E$2,2,FALSE)</f>
        <v/>
      </c>
      <c r="N327">
        <f>SUMIFS($E$2:$E$548,$C$2:$C$548,C327,$I$2:$I$548,I327)</f>
        <v/>
      </c>
      <c r="O327">
        <f>IF(J327="Merchant not found","Merchant not found",IF(AND(N327&gt;5000,L327&lt;&gt;"East"),"High-Value Merchant Day","Normal Merchant Day"))</f>
        <v/>
      </c>
    </row>
    <row r="328">
      <c r="A328" t="inlineStr">
        <is>
          <t>TXN100326</t>
        </is>
      </c>
      <c r="B328" t="n">
        <v>64</v>
      </c>
      <c r="C328" t="n">
        <v>34</v>
      </c>
      <c r="D328" s="3" t="n">
        <v>46039.07847222222</v>
      </c>
      <c r="E328" t="n">
        <v>299</v>
      </c>
      <c r="F328" t="inlineStr">
        <is>
          <t>UPI</t>
        </is>
      </c>
      <c r="G328" t="inlineStr">
        <is>
          <t>captured</t>
        </is>
      </c>
      <c r="H328" t="n">
        <v>19</v>
      </c>
      <c r="I328" s="4">
        <f>INT(D328)</f>
        <v/>
      </c>
      <c r="J328">
        <f>IFERROR(VLOOKUP(C328,Merchants!$A$2:$D$41,2,FALSE),"Merchant not found")</f>
        <v/>
      </c>
      <c r="K328">
        <f>IFERROR(VLOOKUP(C328,Merchants!$A$2:$D$41,3,FALSE),"Merchant not found")</f>
        <v/>
      </c>
      <c r="L328">
        <f>IFERROR(VLOOKUP(C328,Merchants!$A$2:$D$41,4,FALSE),"Merchant not found")</f>
        <v/>
      </c>
      <c r="M328" s="5">
        <f>HLOOKUP(F328,Fee_Reference!$B$1:$E$2,2,FALSE)</f>
        <v/>
      </c>
      <c r="N328">
        <f>SUMIFS($E$2:$E$548,$C$2:$C$548,C328,$I$2:$I$548,I328)</f>
        <v/>
      </c>
      <c r="O328">
        <f>IF(J328="Merchant not found","Merchant not found",IF(AND(N328&gt;5000,L328&lt;&gt;"East"),"High-Value Merchant Day","Normal Merchant Day"))</f>
        <v/>
      </c>
    </row>
    <row r="329">
      <c r="A329" t="inlineStr">
        <is>
          <t>TXN100327</t>
        </is>
      </c>
      <c r="B329" t="n">
        <v>166</v>
      </c>
      <c r="C329" t="n">
        <v>15</v>
      </c>
      <c r="D329" s="3" t="n">
        <v>46032.21527777778</v>
      </c>
      <c r="E329" t="n">
        <v>49</v>
      </c>
      <c r="F329" t="inlineStr">
        <is>
          <t>UPI</t>
        </is>
      </c>
      <c r="G329" t="inlineStr">
        <is>
          <t>captured</t>
        </is>
      </c>
      <c r="H329" t="n">
        <v>44</v>
      </c>
      <c r="I329" s="4">
        <f>INT(D329)</f>
        <v/>
      </c>
      <c r="J329">
        <f>IFERROR(VLOOKUP(C329,Merchants!$A$2:$D$41,2,FALSE),"Merchant not found")</f>
        <v/>
      </c>
      <c r="K329">
        <f>IFERROR(VLOOKUP(C329,Merchants!$A$2:$D$41,3,FALSE),"Merchant not found")</f>
        <v/>
      </c>
      <c r="L329">
        <f>IFERROR(VLOOKUP(C329,Merchants!$A$2:$D$41,4,FALSE),"Merchant not found")</f>
        <v/>
      </c>
      <c r="M329" s="5">
        <f>HLOOKUP(F329,Fee_Reference!$B$1:$E$2,2,FALSE)</f>
        <v/>
      </c>
      <c r="N329">
        <f>SUMIFS($E$2:$E$548,$C$2:$C$548,C329,$I$2:$I$548,I329)</f>
        <v/>
      </c>
      <c r="O329">
        <f>IF(J329="Merchant not found","Merchant not found",IF(AND(N329&gt;5000,L329&lt;&gt;"East"),"High-Value Merchant Day","Normal Merchant Day"))</f>
        <v/>
      </c>
    </row>
    <row r="330">
      <c r="A330" t="inlineStr">
        <is>
          <t>TXN100328</t>
        </is>
      </c>
      <c r="B330" t="n">
        <v>41</v>
      </c>
      <c r="C330" t="n">
        <v>17</v>
      </c>
      <c r="D330" s="3" t="n">
        <v>46039.4125</v>
      </c>
      <c r="E330" t="n">
        <v>299</v>
      </c>
      <c r="F330" t="inlineStr">
        <is>
          <t>Wallet</t>
        </is>
      </c>
      <c r="G330" t="inlineStr">
        <is>
          <t>captured</t>
        </is>
      </c>
      <c r="H330" t="n">
        <v>25</v>
      </c>
      <c r="I330" s="4">
        <f>INT(D330)</f>
        <v/>
      </c>
      <c r="J330">
        <f>IFERROR(VLOOKUP(C330,Merchants!$A$2:$D$41,2,FALSE),"Merchant not found")</f>
        <v/>
      </c>
      <c r="K330">
        <f>IFERROR(VLOOKUP(C330,Merchants!$A$2:$D$41,3,FALSE),"Merchant not found")</f>
        <v/>
      </c>
      <c r="L330">
        <f>IFERROR(VLOOKUP(C330,Merchants!$A$2:$D$41,4,FALSE),"Merchant not found")</f>
        <v/>
      </c>
      <c r="M330" s="5">
        <f>HLOOKUP(F330,Fee_Reference!$B$1:$E$2,2,FALSE)</f>
        <v/>
      </c>
      <c r="N330">
        <f>SUMIFS($E$2:$E$548,$C$2:$C$548,C330,$I$2:$I$548,I330)</f>
        <v/>
      </c>
      <c r="O330">
        <f>IF(J330="Merchant not found","Merchant not found",IF(AND(N330&gt;5000,L330&lt;&gt;"East"),"High-Value Merchant Day","Normal Merchant Day"))</f>
        <v/>
      </c>
    </row>
    <row r="331">
      <c r="A331" t="inlineStr">
        <is>
          <t>TXN100329</t>
        </is>
      </c>
      <c r="B331" t="n">
        <v>65</v>
      </c>
      <c r="C331" t="n">
        <v>20</v>
      </c>
      <c r="D331" s="3" t="n">
        <v>46043.72013888889</v>
      </c>
      <c r="E331" t="n">
        <v>99</v>
      </c>
      <c r="F331" t="inlineStr">
        <is>
          <t>Card</t>
        </is>
      </c>
      <c r="G331" t="inlineStr">
        <is>
          <t>captured</t>
        </is>
      </c>
      <c r="H331" t="n">
        <v>78</v>
      </c>
      <c r="I331" s="4">
        <f>INT(D331)</f>
        <v/>
      </c>
      <c r="J331">
        <f>IFERROR(VLOOKUP(C331,Merchants!$A$2:$D$41,2,FALSE),"Merchant not found")</f>
        <v/>
      </c>
      <c r="K331">
        <f>IFERROR(VLOOKUP(C331,Merchants!$A$2:$D$41,3,FALSE),"Merchant not found")</f>
        <v/>
      </c>
      <c r="L331">
        <f>IFERROR(VLOOKUP(C331,Merchants!$A$2:$D$41,4,FALSE),"Merchant not found")</f>
        <v/>
      </c>
      <c r="M331" s="5">
        <f>HLOOKUP(F331,Fee_Reference!$B$1:$E$2,2,FALSE)</f>
        <v/>
      </c>
      <c r="N331">
        <f>SUMIFS($E$2:$E$548,$C$2:$C$548,C331,$I$2:$I$548,I331)</f>
        <v/>
      </c>
      <c r="O331">
        <f>IF(J331="Merchant not found","Merchant not found",IF(AND(N331&gt;5000,L331&lt;&gt;"East"),"High-Value Merchant Day","Normal Merchant Day"))</f>
        <v/>
      </c>
    </row>
    <row r="332">
      <c r="A332" t="inlineStr">
        <is>
          <t>TXN100330</t>
        </is>
      </c>
      <c r="B332" t="n">
        <v>329</v>
      </c>
      <c r="C332" t="n">
        <v>11</v>
      </c>
      <c r="D332" s="3" t="n">
        <v>46040.10555555556</v>
      </c>
      <c r="E332" t="n">
        <v>499</v>
      </c>
      <c r="F332" t="inlineStr">
        <is>
          <t>UPI</t>
        </is>
      </c>
      <c r="G332" t="inlineStr">
        <is>
          <t>captured</t>
        </is>
      </c>
      <c r="H332" t="n">
        <v>75</v>
      </c>
      <c r="I332" s="4">
        <f>INT(D332)</f>
        <v/>
      </c>
      <c r="J332">
        <f>IFERROR(VLOOKUP(C332,Merchants!$A$2:$D$41,2,FALSE),"Merchant not found")</f>
        <v/>
      </c>
      <c r="K332">
        <f>IFERROR(VLOOKUP(C332,Merchants!$A$2:$D$41,3,FALSE),"Merchant not found")</f>
        <v/>
      </c>
      <c r="L332">
        <f>IFERROR(VLOOKUP(C332,Merchants!$A$2:$D$41,4,FALSE),"Merchant not found")</f>
        <v/>
      </c>
      <c r="M332" s="5">
        <f>HLOOKUP(F332,Fee_Reference!$B$1:$E$2,2,FALSE)</f>
        <v/>
      </c>
      <c r="N332">
        <f>SUMIFS($E$2:$E$548,$C$2:$C$548,C332,$I$2:$I$548,I332)</f>
        <v/>
      </c>
      <c r="O332">
        <f>IF(J332="Merchant not found","Merchant not found",IF(AND(N332&gt;5000,L332&lt;&gt;"East"),"High-Value Merchant Day","Normal Merchant Day"))</f>
        <v/>
      </c>
    </row>
    <row r="333">
      <c r="A333" t="inlineStr">
        <is>
          <t>TXN100331</t>
        </is>
      </c>
      <c r="B333" t="n">
        <v>338</v>
      </c>
      <c r="C333" t="n">
        <v>40</v>
      </c>
      <c r="D333" s="3" t="n">
        <v>46041.17361111111</v>
      </c>
      <c r="E333" t="n">
        <v>149</v>
      </c>
      <c r="F333" t="inlineStr">
        <is>
          <t>UPI</t>
        </is>
      </c>
      <c r="G333" t="inlineStr">
        <is>
          <t>captured</t>
        </is>
      </c>
      <c r="H333" t="n">
        <v>92</v>
      </c>
      <c r="I333" s="4">
        <f>INT(D333)</f>
        <v/>
      </c>
      <c r="J333">
        <f>IFERROR(VLOOKUP(C333,Merchants!$A$2:$D$41,2,FALSE),"Merchant not found")</f>
        <v/>
      </c>
      <c r="K333">
        <f>IFERROR(VLOOKUP(C333,Merchants!$A$2:$D$41,3,FALSE),"Merchant not found")</f>
        <v/>
      </c>
      <c r="L333">
        <f>IFERROR(VLOOKUP(C333,Merchants!$A$2:$D$41,4,FALSE),"Merchant not found")</f>
        <v/>
      </c>
      <c r="M333" s="5">
        <f>HLOOKUP(F333,Fee_Reference!$B$1:$E$2,2,FALSE)</f>
        <v/>
      </c>
      <c r="N333">
        <f>SUMIFS($E$2:$E$548,$C$2:$C$548,C333,$I$2:$I$548,I333)</f>
        <v/>
      </c>
      <c r="O333">
        <f>IF(J333="Merchant not found","Merchant not found",IF(AND(N333&gt;5000,L333&lt;&gt;"East"),"High-Value Merchant Day","Normal Merchant Day"))</f>
        <v/>
      </c>
    </row>
    <row r="334">
      <c r="A334" t="inlineStr">
        <is>
          <t>TXN100332</t>
        </is>
      </c>
      <c r="B334" t="n">
        <v>289</v>
      </c>
      <c r="C334" t="n">
        <v>3</v>
      </c>
      <c r="D334" s="3" t="n">
        <v>46051.80625</v>
      </c>
      <c r="E334" t="n">
        <v>49</v>
      </c>
      <c r="F334" t="inlineStr">
        <is>
          <t>Netbanking</t>
        </is>
      </c>
      <c r="G334" t="inlineStr">
        <is>
          <t>captured</t>
        </is>
      </c>
      <c r="H334" t="n">
        <v>3</v>
      </c>
      <c r="I334" s="4">
        <f>INT(D334)</f>
        <v/>
      </c>
      <c r="J334">
        <f>IFERROR(VLOOKUP(C334,Merchants!$A$2:$D$41,2,FALSE),"Merchant not found")</f>
        <v/>
      </c>
      <c r="K334">
        <f>IFERROR(VLOOKUP(C334,Merchants!$A$2:$D$41,3,FALSE),"Merchant not found")</f>
        <v/>
      </c>
      <c r="L334">
        <f>IFERROR(VLOOKUP(C334,Merchants!$A$2:$D$41,4,FALSE),"Merchant not found")</f>
        <v/>
      </c>
      <c r="M334" s="5">
        <f>HLOOKUP(F334,Fee_Reference!$B$1:$E$2,2,FALSE)</f>
        <v/>
      </c>
      <c r="N334">
        <f>SUMIFS($E$2:$E$548,$C$2:$C$548,C334,$I$2:$I$548,I334)</f>
        <v/>
      </c>
      <c r="O334">
        <f>IF(J334="Merchant not found","Merchant not found",IF(AND(N334&gt;5000,L334&lt;&gt;"East"),"High-Value Merchant Day","Normal Merchant Day"))</f>
        <v/>
      </c>
    </row>
    <row r="335">
      <c r="A335" t="inlineStr">
        <is>
          <t>TXN100333</t>
        </is>
      </c>
      <c r="B335" t="n">
        <v>296</v>
      </c>
      <c r="C335" t="n">
        <v>17</v>
      </c>
      <c r="D335" s="3" t="n">
        <v>46025.07013888889</v>
      </c>
      <c r="E335" t="n">
        <v>99</v>
      </c>
      <c r="F335" t="inlineStr">
        <is>
          <t>UPI</t>
        </is>
      </c>
      <c r="G335" t="inlineStr">
        <is>
          <t>captured</t>
        </is>
      </c>
      <c r="H335" t="n">
        <v>83</v>
      </c>
      <c r="I335" s="4">
        <f>INT(D335)</f>
        <v/>
      </c>
      <c r="J335">
        <f>IFERROR(VLOOKUP(C335,Merchants!$A$2:$D$41,2,FALSE),"Merchant not found")</f>
        <v/>
      </c>
      <c r="K335">
        <f>IFERROR(VLOOKUP(C335,Merchants!$A$2:$D$41,3,FALSE),"Merchant not found")</f>
        <v/>
      </c>
      <c r="L335">
        <f>IFERROR(VLOOKUP(C335,Merchants!$A$2:$D$41,4,FALSE),"Merchant not found")</f>
        <v/>
      </c>
      <c r="M335" s="5">
        <f>HLOOKUP(F335,Fee_Reference!$B$1:$E$2,2,FALSE)</f>
        <v/>
      </c>
      <c r="N335">
        <f>SUMIFS($E$2:$E$548,$C$2:$C$548,C335,$I$2:$I$548,I335)</f>
        <v/>
      </c>
      <c r="O335">
        <f>IF(J335="Merchant not found","Merchant not found",IF(AND(N335&gt;5000,L335&lt;&gt;"East"),"High-Value Merchant Day","Normal Merchant Day"))</f>
        <v/>
      </c>
    </row>
    <row r="336">
      <c r="A336" t="inlineStr">
        <is>
          <t>TXN100334</t>
        </is>
      </c>
      <c r="B336" t="n">
        <v>317</v>
      </c>
      <c r="C336" t="n">
        <v>2</v>
      </c>
      <c r="D336" s="3" t="n">
        <v>46029.76805555556</v>
      </c>
      <c r="E336" t="n">
        <v>499</v>
      </c>
      <c r="F336" t="inlineStr">
        <is>
          <t>Card</t>
        </is>
      </c>
      <c r="G336" t="inlineStr">
        <is>
          <t>captured</t>
        </is>
      </c>
      <c r="H336" t="n">
        <v>63</v>
      </c>
      <c r="I336" s="4">
        <f>INT(D336)</f>
        <v/>
      </c>
      <c r="J336">
        <f>IFERROR(VLOOKUP(C336,Merchants!$A$2:$D$41,2,FALSE),"Merchant not found")</f>
        <v/>
      </c>
      <c r="K336">
        <f>IFERROR(VLOOKUP(C336,Merchants!$A$2:$D$41,3,FALSE),"Merchant not found")</f>
        <v/>
      </c>
      <c r="L336">
        <f>IFERROR(VLOOKUP(C336,Merchants!$A$2:$D$41,4,FALSE),"Merchant not found")</f>
        <v/>
      </c>
      <c r="M336" s="5">
        <f>HLOOKUP(F336,Fee_Reference!$B$1:$E$2,2,FALSE)</f>
        <v/>
      </c>
      <c r="N336">
        <f>SUMIFS($E$2:$E$548,$C$2:$C$548,C336,$I$2:$I$548,I336)</f>
        <v/>
      </c>
      <c r="O336">
        <f>IF(J336="Merchant not found","Merchant not found",IF(AND(N336&gt;5000,L336&lt;&gt;"East"),"High-Value Merchant Day","Normal Merchant Day"))</f>
        <v/>
      </c>
    </row>
    <row r="337">
      <c r="A337" t="inlineStr">
        <is>
          <t>TXN100335</t>
        </is>
      </c>
      <c r="B337" t="n">
        <v>149</v>
      </c>
      <c r="C337" t="n">
        <v>20</v>
      </c>
      <c r="D337" s="3" t="n">
        <v>46051.85694444444</v>
      </c>
      <c r="E337" t="n">
        <v>499</v>
      </c>
      <c r="F337" t="inlineStr">
        <is>
          <t>Card</t>
        </is>
      </c>
      <c r="G337" t="inlineStr">
        <is>
          <t>captured</t>
        </is>
      </c>
      <c r="H337" t="n">
        <v>61</v>
      </c>
      <c r="I337" s="4">
        <f>INT(D337)</f>
        <v/>
      </c>
      <c r="J337">
        <f>IFERROR(VLOOKUP(C337,Merchants!$A$2:$D$41,2,FALSE),"Merchant not found")</f>
        <v/>
      </c>
      <c r="K337">
        <f>IFERROR(VLOOKUP(C337,Merchants!$A$2:$D$41,3,FALSE),"Merchant not found")</f>
        <v/>
      </c>
      <c r="L337">
        <f>IFERROR(VLOOKUP(C337,Merchants!$A$2:$D$41,4,FALSE),"Merchant not found")</f>
        <v/>
      </c>
      <c r="M337" s="5">
        <f>HLOOKUP(F337,Fee_Reference!$B$1:$E$2,2,FALSE)</f>
        <v/>
      </c>
      <c r="N337">
        <f>SUMIFS($E$2:$E$548,$C$2:$C$548,C337,$I$2:$I$548,I337)</f>
        <v/>
      </c>
      <c r="O337">
        <f>IF(J337="Merchant not found","Merchant not found",IF(AND(N337&gt;5000,L337&lt;&gt;"East"),"High-Value Merchant Day","Normal Merchant Day"))</f>
        <v/>
      </c>
    </row>
    <row r="338">
      <c r="A338" t="inlineStr">
        <is>
          <t>TXN100336</t>
        </is>
      </c>
      <c r="B338" t="n">
        <v>153</v>
      </c>
      <c r="C338" t="n">
        <v>30</v>
      </c>
      <c r="D338" s="3" t="n">
        <v>46030.89236111111</v>
      </c>
      <c r="E338" t="n">
        <v>299</v>
      </c>
      <c r="F338" t="inlineStr">
        <is>
          <t>UPI</t>
        </is>
      </c>
      <c r="G338" t="inlineStr">
        <is>
          <t>captured</t>
        </is>
      </c>
      <c r="H338" t="n">
        <v>9</v>
      </c>
      <c r="I338" s="4">
        <f>INT(D338)</f>
        <v/>
      </c>
      <c r="J338">
        <f>IFERROR(VLOOKUP(C338,Merchants!$A$2:$D$41,2,FALSE),"Merchant not found")</f>
        <v/>
      </c>
      <c r="K338">
        <f>IFERROR(VLOOKUP(C338,Merchants!$A$2:$D$41,3,FALSE),"Merchant not found")</f>
        <v/>
      </c>
      <c r="L338">
        <f>IFERROR(VLOOKUP(C338,Merchants!$A$2:$D$41,4,FALSE),"Merchant not found")</f>
        <v/>
      </c>
      <c r="M338" s="5">
        <f>HLOOKUP(F338,Fee_Reference!$B$1:$E$2,2,FALSE)</f>
        <v/>
      </c>
      <c r="N338">
        <f>SUMIFS($E$2:$E$548,$C$2:$C$548,C338,$I$2:$I$548,I338)</f>
        <v/>
      </c>
      <c r="O338">
        <f>IF(J338="Merchant not found","Merchant not found",IF(AND(N338&gt;5000,L338&lt;&gt;"East"),"High-Value Merchant Day","Normal Merchant Day"))</f>
        <v/>
      </c>
    </row>
    <row r="339">
      <c r="A339" t="inlineStr">
        <is>
          <t>TXN100337</t>
        </is>
      </c>
      <c r="B339" t="n">
        <v>226</v>
      </c>
      <c r="C339" t="n">
        <v>27</v>
      </c>
      <c r="D339" s="3" t="n">
        <v>46045.04861111111</v>
      </c>
      <c r="E339" t="n">
        <v>2999</v>
      </c>
      <c r="F339" t="inlineStr">
        <is>
          <t>UPI</t>
        </is>
      </c>
      <c r="G339" t="inlineStr">
        <is>
          <t>chargeback</t>
        </is>
      </c>
      <c r="H339" t="n">
        <v>61</v>
      </c>
      <c r="I339" s="4">
        <f>INT(D339)</f>
        <v/>
      </c>
      <c r="J339">
        <f>IFERROR(VLOOKUP(C339,Merchants!$A$2:$D$41,2,FALSE),"Merchant not found")</f>
        <v/>
      </c>
      <c r="K339">
        <f>IFERROR(VLOOKUP(C339,Merchants!$A$2:$D$41,3,FALSE),"Merchant not found")</f>
        <v/>
      </c>
      <c r="L339">
        <f>IFERROR(VLOOKUP(C339,Merchants!$A$2:$D$41,4,FALSE),"Merchant not found")</f>
        <v/>
      </c>
      <c r="M339" s="5">
        <f>HLOOKUP(F339,Fee_Reference!$B$1:$E$2,2,FALSE)</f>
        <v/>
      </c>
      <c r="N339">
        <f>SUMIFS($E$2:$E$548,$C$2:$C$548,C339,$I$2:$I$548,I339)</f>
        <v/>
      </c>
      <c r="O339">
        <f>IF(J339="Merchant not found","Merchant not found",IF(AND(N339&gt;5000,L339&lt;&gt;"East"),"High-Value Merchant Day","Normal Merchant Day"))</f>
        <v/>
      </c>
    </row>
    <row r="340">
      <c r="A340" t="inlineStr">
        <is>
          <t>TXN100338</t>
        </is>
      </c>
      <c r="B340" t="n">
        <v>311</v>
      </c>
      <c r="C340" t="n">
        <v>10</v>
      </c>
      <c r="D340" s="3" t="n">
        <v>46037.26458333333</v>
      </c>
      <c r="E340" t="n">
        <v>2999</v>
      </c>
      <c r="F340" t="inlineStr">
        <is>
          <t>UPI</t>
        </is>
      </c>
      <c r="G340" t="inlineStr">
        <is>
          <t>captured</t>
        </is>
      </c>
      <c r="H340" t="n">
        <v>40</v>
      </c>
      <c r="I340" s="4">
        <f>INT(D340)</f>
        <v/>
      </c>
      <c r="J340">
        <f>IFERROR(VLOOKUP(C340,Merchants!$A$2:$D$41,2,FALSE),"Merchant not found")</f>
        <v/>
      </c>
      <c r="K340">
        <f>IFERROR(VLOOKUP(C340,Merchants!$A$2:$D$41,3,FALSE),"Merchant not found")</f>
        <v/>
      </c>
      <c r="L340">
        <f>IFERROR(VLOOKUP(C340,Merchants!$A$2:$D$41,4,FALSE),"Merchant not found")</f>
        <v/>
      </c>
      <c r="M340" s="5">
        <f>HLOOKUP(F340,Fee_Reference!$B$1:$E$2,2,FALSE)</f>
        <v/>
      </c>
      <c r="N340">
        <f>SUMIFS($E$2:$E$548,$C$2:$C$548,C340,$I$2:$I$548,I340)</f>
        <v/>
      </c>
      <c r="O340">
        <f>IF(J340="Merchant not found","Merchant not found",IF(AND(N340&gt;5000,L340&lt;&gt;"East"),"High-Value Merchant Day","Normal Merchant Day"))</f>
        <v/>
      </c>
    </row>
    <row r="341">
      <c r="A341" t="inlineStr">
        <is>
          <t>TXN100339</t>
        </is>
      </c>
      <c r="B341" t="n">
        <v>177</v>
      </c>
      <c r="C341" t="n">
        <v>26</v>
      </c>
      <c r="D341" s="3" t="n">
        <v>46050.93055555555</v>
      </c>
      <c r="E341" t="n">
        <v>1499</v>
      </c>
      <c r="F341" t="inlineStr">
        <is>
          <t>UPI</t>
        </is>
      </c>
      <c r="G341" t="inlineStr">
        <is>
          <t>captured</t>
        </is>
      </c>
      <c r="H341" t="n">
        <v>16</v>
      </c>
      <c r="I341" s="4">
        <f>INT(D341)</f>
        <v/>
      </c>
      <c r="J341">
        <f>IFERROR(VLOOKUP(C341,Merchants!$A$2:$D$41,2,FALSE),"Merchant not found")</f>
        <v/>
      </c>
      <c r="K341">
        <f>IFERROR(VLOOKUP(C341,Merchants!$A$2:$D$41,3,FALSE),"Merchant not found")</f>
        <v/>
      </c>
      <c r="L341">
        <f>IFERROR(VLOOKUP(C341,Merchants!$A$2:$D$41,4,FALSE),"Merchant not found")</f>
        <v/>
      </c>
      <c r="M341" s="5">
        <f>HLOOKUP(F341,Fee_Reference!$B$1:$E$2,2,FALSE)</f>
        <v/>
      </c>
      <c r="N341">
        <f>SUMIFS($E$2:$E$548,$C$2:$C$548,C341,$I$2:$I$548,I341)</f>
        <v/>
      </c>
      <c r="O341">
        <f>IF(J341="Merchant not found","Merchant not found",IF(AND(N341&gt;5000,L341&lt;&gt;"East"),"High-Value Merchant Day","Normal Merchant Day"))</f>
        <v/>
      </c>
    </row>
    <row r="342">
      <c r="A342" t="inlineStr">
        <is>
          <t>TXN100340</t>
        </is>
      </c>
      <c r="B342" t="n">
        <v>288</v>
      </c>
      <c r="C342" t="n">
        <v>7</v>
      </c>
      <c r="D342" s="3" t="n">
        <v>46047.48055555556</v>
      </c>
      <c r="E342" t="n">
        <v>99</v>
      </c>
      <c r="F342" t="inlineStr">
        <is>
          <t>Netbanking</t>
        </is>
      </c>
      <c r="G342" t="inlineStr">
        <is>
          <t>captured</t>
        </is>
      </c>
      <c r="H342" t="n">
        <v>40</v>
      </c>
      <c r="I342" s="4">
        <f>INT(D342)</f>
        <v/>
      </c>
      <c r="J342">
        <f>IFERROR(VLOOKUP(C342,Merchants!$A$2:$D$41,2,FALSE),"Merchant not found")</f>
        <v/>
      </c>
      <c r="K342">
        <f>IFERROR(VLOOKUP(C342,Merchants!$A$2:$D$41,3,FALSE),"Merchant not found")</f>
        <v/>
      </c>
      <c r="L342">
        <f>IFERROR(VLOOKUP(C342,Merchants!$A$2:$D$41,4,FALSE),"Merchant not found")</f>
        <v/>
      </c>
      <c r="M342" s="5">
        <f>HLOOKUP(F342,Fee_Reference!$B$1:$E$2,2,FALSE)</f>
        <v/>
      </c>
      <c r="N342">
        <f>SUMIFS($E$2:$E$548,$C$2:$C$548,C342,$I$2:$I$548,I342)</f>
        <v/>
      </c>
      <c r="O342">
        <f>IF(J342="Merchant not found","Merchant not found",IF(AND(N342&gt;5000,L342&lt;&gt;"East"),"High-Value Merchant Day","Normal Merchant Day"))</f>
        <v/>
      </c>
    </row>
    <row r="343">
      <c r="A343" t="inlineStr">
        <is>
          <t>TXN100341</t>
        </is>
      </c>
      <c r="B343" t="n">
        <v>137</v>
      </c>
      <c r="C343" t="n">
        <v>29</v>
      </c>
      <c r="D343" s="3" t="n">
        <v>46030.58819444444</v>
      </c>
      <c r="E343" t="n">
        <v>2999</v>
      </c>
      <c r="F343" t="inlineStr">
        <is>
          <t>UPI</t>
        </is>
      </c>
      <c r="G343" t="inlineStr">
        <is>
          <t>failed</t>
        </is>
      </c>
      <c r="H343" t="n">
        <v>31</v>
      </c>
      <c r="I343" s="4">
        <f>INT(D343)</f>
        <v/>
      </c>
      <c r="J343">
        <f>IFERROR(VLOOKUP(C343,Merchants!$A$2:$D$41,2,FALSE),"Merchant not found")</f>
        <v/>
      </c>
      <c r="K343">
        <f>IFERROR(VLOOKUP(C343,Merchants!$A$2:$D$41,3,FALSE),"Merchant not found")</f>
        <v/>
      </c>
      <c r="L343">
        <f>IFERROR(VLOOKUP(C343,Merchants!$A$2:$D$41,4,FALSE),"Merchant not found")</f>
        <v/>
      </c>
      <c r="M343" s="5">
        <f>HLOOKUP(F343,Fee_Reference!$B$1:$E$2,2,FALSE)</f>
        <v/>
      </c>
      <c r="N343">
        <f>SUMIFS($E$2:$E$548,$C$2:$C$548,C343,$I$2:$I$548,I343)</f>
        <v/>
      </c>
      <c r="O343">
        <f>IF(J343="Merchant not found","Merchant not found",IF(AND(N343&gt;5000,L343&lt;&gt;"East"),"High-Value Merchant Day","Normal Merchant Day"))</f>
        <v/>
      </c>
    </row>
    <row r="344">
      <c r="A344" t="inlineStr">
        <is>
          <t>TXN100342</t>
        </is>
      </c>
      <c r="B344" t="n">
        <v>149</v>
      </c>
      <c r="C344" t="n">
        <v>25</v>
      </c>
      <c r="D344" s="3" t="n">
        <v>46027.12708333333</v>
      </c>
      <c r="E344" t="n">
        <v>1499</v>
      </c>
      <c r="F344" t="inlineStr">
        <is>
          <t>UPI</t>
        </is>
      </c>
      <c r="G344" t="inlineStr">
        <is>
          <t>captured</t>
        </is>
      </c>
      <c r="H344" t="n">
        <v>78</v>
      </c>
      <c r="I344" s="4">
        <f>INT(D344)</f>
        <v/>
      </c>
      <c r="J344">
        <f>IFERROR(VLOOKUP(C344,Merchants!$A$2:$D$41,2,FALSE),"Merchant not found")</f>
        <v/>
      </c>
      <c r="K344">
        <f>IFERROR(VLOOKUP(C344,Merchants!$A$2:$D$41,3,FALSE),"Merchant not found")</f>
        <v/>
      </c>
      <c r="L344">
        <f>IFERROR(VLOOKUP(C344,Merchants!$A$2:$D$41,4,FALSE),"Merchant not found")</f>
        <v/>
      </c>
      <c r="M344" s="5">
        <f>HLOOKUP(F344,Fee_Reference!$B$1:$E$2,2,FALSE)</f>
        <v/>
      </c>
      <c r="N344">
        <f>SUMIFS($E$2:$E$548,$C$2:$C$548,C344,$I$2:$I$548,I344)</f>
        <v/>
      </c>
      <c r="O344">
        <f>IF(J344="Merchant not found","Merchant not found",IF(AND(N344&gt;5000,L344&lt;&gt;"East"),"High-Value Merchant Day","Normal Merchant Day"))</f>
        <v/>
      </c>
    </row>
    <row r="345">
      <c r="A345" t="inlineStr">
        <is>
          <t>TXN100343</t>
        </is>
      </c>
      <c r="B345" t="n">
        <v>82</v>
      </c>
      <c r="C345" t="n">
        <v>21</v>
      </c>
      <c r="D345" s="3" t="n">
        <v>46036.32986111111</v>
      </c>
      <c r="E345" t="n">
        <v>49</v>
      </c>
      <c r="F345" t="inlineStr">
        <is>
          <t>Wallet</t>
        </is>
      </c>
      <c r="G345" t="inlineStr">
        <is>
          <t>captured</t>
        </is>
      </c>
      <c r="H345" t="n">
        <v>73</v>
      </c>
      <c r="I345" s="4">
        <f>INT(D345)</f>
        <v/>
      </c>
      <c r="J345">
        <f>IFERROR(VLOOKUP(C345,Merchants!$A$2:$D$41,2,FALSE),"Merchant not found")</f>
        <v/>
      </c>
      <c r="K345">
        <f>IFERROR(VLOOKUP(C345,Merchants!$A$2:$D$41,3,FALSE),"Merchant not found")</f>
        <v/>
      </c>
      <c r="L345">
        <f>IFERROR(VLOOKUP(C345,Merchants!$A$2:$D$41,4,FALSE),"Merchant not found")</f>
        <v/>
      </c>
      <c r="M345" s="5">
        <f>HLOOKUP(F345,Fee_Reference!$B$1:$E$2,2,FALSE)</f>
        <v/>
      </c>
      <c r="N345">
        <f>SUMIFS($E$2:$E$548,$C$2:$C$548,C345,$I$2:$I$548,I345)</f>
        <v/>
      </c>
      <c r="O345">
        <f>IF(J345="Merchant not found","Merchant not found",IF(AND(N345&gt;5000,L345&lt;&gt;"East"),"High-Value Merchant Day","Normal Merchant Day"))</f>
        <v/>
      </c>
    </row>
    <row r="346">
      <c r="A346" t="inlineStr">
        <is>
          <t>TXN100344</t>
        </is>
      </c>
      <c r="B346" t="n">
        <v>82</v>
      </c>
      <c r="C346" t="n">
        <v>32</v>
      </c>
      <c r="D346" s="3" t="n">
        <v>46046.425</v>
      </c>
      <c r="E346" t="n">
        <v>49</v>
      </c>
      <c r="F346" t="inlineStr">
        <is>
          <t>UPI</t>
        </is>
      </c>
      <c r="G346" t="inlineStr">
        <is>
          <t>captured</t>
        </is>
      </c>
      <c r="H346" t="n">
        <v>65</v>
      </c>
      <c r="I346" s="4">
        <f>INT(D346)</f>
        <v/>
      </c>
      <c r="J346">
        <f>IFERROR(VLOOKUP(C346,Merchants!$A$2:$D$41,2,FALSE),"Merchant not found")</f>
        <v/>
      </c>
      <c r="K346">
        <f>IFERROR(VLOOKUP(C346,Merchants!$A$2:$D$41,3,FALSE),"Merchant not found")</f>
        <v/>
      </c>
      <c r="L346">
        <f>IFERROR(VLOOKUP(C346,Merchants!$A$2:$D$41,4,FALSE),"Merchant not found")</f>
        <v/>
      </c>
      <c r="M346" s="5">
        <f>HLOOKUP(F346,Fee_Reference!$B$1:$E$2,2,FALSE)</f>
        <v/>
      </c>
      <c r="N346">
        <f>SUMIFS($E$2:$E$548,$C$2:$C$548,C346,$I$2:$I$548,I346)</f>
        <v/>
      </c>
      <c r="O346">
        <f>IF(J346="Merchant not found","Merchant not found",IF(AND(N346&gt;5000,L346&lt;&gt;"East"),"High-Value Merchant Day","Normal Merchant Day"))</f>
        <v/>
      </c>
    </row>
    <row r="347">
      <c r="A347" t="inlineStr">
        <is>
          <t>TXN100345</t>
        </is>
      </c>
      <c r="B347" t="n">
        <v>158</v>
      </c>
      <c r="C347" t="n">
        <v>32</v>
      </c>
      <c r="D347" s="3" t="n">
        <v>46037.66388888889</v>
      </c>
      <c r="E347" t="n">
        <v>99</v>
      </c>
      <c r="F347" t="inlineStr">
        <is>
          <t>Wallet</t>
        </is>
      </c>
      <c r="G347" t="inlineStr">
        <is>
          <t>captured</t>
        </is>
      </c>
      <c r="H347" t="n">
        <v>2</v>
      </c>
      <c r="I347" s="4">
        <f>INT(D347)</f>
        <v/>
      </c>
      <c r="J347">
        <f>IFERROR(VLOOKUP(C347,Merchants!$A$2:$D$41,2,FALSE),"Merchant not found")</f>
        <v/>
      </c>
      <c r="K347">
        <f>IFERROR(VLOOKUP(C347,Merchants!$A$2:$D$41,3,FALSE),"Merchant not found")</f>
        <v/>
      </c>
      <c r="L347">
        <f>IFERROR(VLOOKUP(C347,Merchants!$A$2:$D$41,4,FALSE),"Merchant not found")</f>
        <v/>
      </c>
      <c r="M347" s="5">
        <f>HLOOKUP(F347,Fee_Reference!$B$1:$E$2,2,FALSE)</f>
        <v/>
      </c>
      <c r="N347">
        <f>SUMIFS($E$2:$E$548,$C$2:$C$548,C347,$I$2:$I$548,I347)</f>
        <v/>
      </c>
      <c r="O347">
        <f>IF(J347="Merchant not found","Merchant not found",IF(AND(N347&gt;5000,L347&lt;&gt;"East"),"High-Value Merchant Day","Normal Merchant Day"))</f>
        <v/>
      </c>
    </row>
    <row r="348">
      <c r="A348" t="inlineStr">
        <is>
          <t>TXN100346</t>
        </is>
      </c>
      <c r="B348" t="n">
        <v>235</v>
      </c>
      <c r="C348" t="n">
        <v>16</v>
      </c>
      <c r="D348" s="3" t="n">
        <v>46025.52222222222</v>
      </c>
      <c r="E348" t="n">
        <v>99</v>
      </c>
      <c r="F348" t="inlineStr">
        <is>
          <t>UPI</t>
        </is>
      </c>
      <c r="G348" t="inlineStr">
        <is>
          <t>captured</t>
        </is>
      </c>
      <c r="H348" t="n">
        <v>27</v>
      </c>
      <c r="I348" s="4">
        <f>INT(D348)</f>
        <v/>
      </c>
      <c r="J348">
        <f>IFERROR(VLOOKUP(C348,Merchants!$A$2:$D$41,2,FALSE),"Merchant not found")</f>
        <v/>
      </c>
      <c r="K348">
        <f>IFERROR(VLOOKUP(C348,Merchants!$A$2:$D$41,3,FALSE),"Merchant not found")</f>
        <v/>
      </c>
      <c r="L348">
        <f>IFERROR(VLOOKUP(C348,Merchants!$A$2:$D$41,4,FALSE),"Merchant not found")</f>
        <v/>
      </c>
      <c r="M348" s="5">
        <f>HLOOKUP(F348,Fee_Reference!$B$1:$E$2,2,FALSE)</f>
        <v/>
      </c>
      <c r="N348">
        <f>SUMIFS($E$2:$E$548,$C$2:$C$548,C348,$I$2:$I$548,I348)</f>
        <v/>
      </c>
      <c r="O348">
        <f>IF(J348="Merchant not found","Merchant not found",IF(AND(N348&gt;5000,L348&lt;&gt;"East"),"High-Value Merchant Day","Normal Merchant Day"))</f>
        <v/>
      </c>
    </row>
    <row r="349">
      <c r="A349" t="inlineStr">
        <is>
          <t>TXN100347</t>
        </is>
      </c>
      <c r="B349" t="n">
        <v>26</v>
      </c>
      <c r="C349" t="n">
        <v>19</v>
      </c>
      <c r="D349" s="3" t="n">
        <v>46041.46041666667</v>
      </c>
      <c r="E349" t="n">
        <v>99</v>
      </c>
      <c r="F349" t="inlineStr">
        <is>
          <t>Wallet</t>
        </is>
      </c>
      <c r="G349" t="inlineStr">
        <is>
          <t>captured</t>
        </is>
      </c>
      <c r="H349" t="n">
        <v>63</v>
      </c>
      <c r="I349" s="4">
        <f>INT(D349)</f>
        <v/>
      </c>
      <c r="J349">
        <f>IFERROR(VLOOKUP(C349,Merchants!$A$2:$D$41,2,FALSE),"Merchant not found")</f>
        <v/>
      </c>
      <c r="K349">
        <f>IFERROR(VLOOKUP(C349,Merchants!$A$2:$D$41,3,FALSE),"Merchant not found")</f>
        <v/>
      </c>
      <c r="L349">
        <f>IFERROR(VLOOKUP(C349,Merchants!$A$2:$D$41,4,FALSE),"Merchant not found")</f>
        <v/>
      </c>
      <c r="M349" s="5">
        <f>HLOOKUP(F349,Fee_Reference!$B$1:$E$2,2,FALSE)</f>
        <v/>
      </c>
      <c r="N349">
        <f>SUMIFS($E$2:$E$548,$C$2:$C$548,C349,$I$2:$I$548,I349)</f>
        <v/>
      </c>
      <c r="O349">
        <f>IF(J349="Merchant not found","Merchant not found",IF(AND(N349&gt;5000,L349&lt;&gt;"East"),"High-Value Merchant Day","Normal Merchant Day"))</f>
        <v/>
      </c>
    </row>
    <row r="350">
      <c r="A350" t="inlineStr">
        <is>
          <t>TXN100348</t>
        </is>
      </c>
      <c r="B350" t="n">
        <v>241</v>
      </c>
      <c r="C350" t="n">
        <v>19</v>
      </c>
      <c r="D350" s="3" t="n">
        <v>46042.86319444444</v>
      </c>
      <c r="E350" t="n">
        <v>299</v>
      </c>
      <c r="F350" t="inlineStr">
        <is>
          <t>UPI</t>
        </is>
      </c>
      <c r="G350" t="inlineStr">
        <is>
          <t>captured</t>
        </is>
      </c>
      <c r="H350" t="n">
        <v>68</v>
      </c>
      <c r="I350" s="4">
        <f>INT(D350)</f>
        <v/>
      </c>
      <c r="J350">
        <f>IFERROR(VLOOKUP(C350,Merchants!$A$2:$D$41,2,FALSE),"Merchant not found")</f>
        <v/>
      </c>
      <c r="K350">
        <f>IFERROR(VLOOKUP(C350,Merchants!$A$2:$D$41,3,FALSE),"Merchant not found")</f>
        <v/>
      </c>
      <c r="L350">
        <f>IFERROR(VLOOKUP(C350,Merchants!$A$2:$D$41,4,FALSE),"Merchant not found")</f>
        <v/>
      </c>
      <c r="M350" s="5">
        <f>HLOOKUP(F350,Fee_Reference!$B$1:$E$2,2,FALSE)</f>
        <v/>
      </c>
      <c r="N350">
        <f>SUMIFS($E$2:$E$548,$C$2:$C$548,C350,$I$2:$I$548,I350)</f>
        <v/>
      </c>
      <c r="O350">
        <f>IF(J350="Merchant not found","Merchant not found",IF(AND(N350&gt;5000,L350&lt;&gt;"East"),"High-Value Merchant Day","Normal Merchant Day"))</f>
        <v/>
      </c>
    </row>
    <row r="351">
      <c r="A351" t="inlineStr">
        <is>
          <t>TXN100349</t>
        </is>
      </c>
      <c r="B351" t="n">
        <v>69</v>
      </c>
      <c r="C351" t="n">
        <v>17</v>
      </c>
      <c r="D351" s="3" t="n">
        <v>46023.14375</v>
      </c>
      <c r="E351" t="n">
        <v>1499</v>
      </c>
      <c r="F351" t="inlineStr">
        <is>
          <t>UPI</t>
        </is>
      </c>
      <c r="G351" t="inlineStr">
        <is>
          <t>captured</t>
        </is>
      </c>
      <c r="H351" t="n">
        <v>93</v>
      </c>
      <c r="I351" s="4">
        <f>INT(D351)</f>
        <v/>
      </c>
      <c r="J351">
        <f>IFERROR(VLOOKUP(C351,Merchants!$A$2:$D$41,2,FALSE),"Merchant not found")</f>
        <v/>
      </c>
      <c r="K351">
        <f>IFERROR(VLOOKUP(C351,Merchants!$A$2:$D$41,3,FALSE),"Merchant not found")</f>
        <v/>
      </c>
      <c r="L351">
        <f>IFERROR(VLOOKUP(C351,Merchants!$A$2:$D$41,4,FALSE),"Merchant not found")</f>
        <v/>
      </c>
      <c r="M351" s="5">
        <f>HLOOKUP(F351,Fee_Reference!$B$1:$E$2,2,FALSE)</f>
        <v/>
      </c>
      <c r="N351">
        <f>SUMIFS($E$2:$E$548,$C$2:$C$548,C351,$I$2:$I$548,I351)</f>
        <v/>
      </c>
      <c r="O351">
        <f>IF(J351="Merchant not found","Merchant not found",IF(AND(N351&gt;5000,L351&lt;&gt;"East"),"High-Value Merchant Day","Normal Merchant Day"))</f>
        <v/>
      </c>
    </row>
    <row r="352">
      <c r="A352" t="inlineStr">
        <is>
          <t>TXN100350</t>
        </is>
      </c>
      <c r="B352" t="n">
        <v>24</v>
      </c>
      <c r="C352" t="n">
        <v>26</v>
      </c>
      <c r="D352" s="3" t="n">
        <v>46034.51597222222</v>
      </c>
      <c r="E352" t="n">
        <v>299</v>
      </c>
      <c r="F352" t="inlineStr">
        <is>
          <t>Netbanking</t>
        </is>
      </c>
      <c r="G352" t="inlineStr">
        <is>
          <t>captured</t>
        </is>
      </c>
      <c r="H352" t="n">
        <v>6</v>
      </c>
      <c r="I352" s="4">
        <f>INT(D352)</f>
        <v/>
      </c>
      <c r="J352">
        <f>IFERROR(VLOOKUP(C352,Merchants!$A$2:$D$41,2,FALSE),"Merchant not found")</f>
        <v/>
      </c>
      <c r="K352">
        <f>IFERROR(VLOOKUP(C352,Merchants!$A$2:$D$41,3,FALSE),"Merchant not found")</f>
        <v/>
      </c>
      <c r="L352">
        <f>IFERROR(VLOOKUP(C352,Merchants!$A$2:$D$41,4,FALSE),"Merchant not found")</f>
        <v/>
      </c>
      <c r="M352" s="5">
        <f>HLOOKUP(F352,Fee_Reference!$B$1:$E$2,2,FALSE)</f>
        <v/>
      </c>
      <c r="N352">
        <f>SUMIFS($E$2:$E$548,$C$2:$C$548,C352,$I$2:$I$548,I352)</f>
        <v/>
      </c>
      <c r="O352">
        <f>IF(J352="Merchant not found","Merchant not found",IF(AND(N352&gt;5000,L352&lt;&gt;"East"),"High-Value Merchant Day","Normal Merchant Day"))</f>
        <v/>
      </c>
    </row>
    <row r="353">
      <c r="A353" t="inlineStr">
        <is>
          <t>TXN100351</t>
        </is>
      </c>
      <c r="B353" t="n">
        <v>186</v>
      </c>
      <c r="C353" t="n">
        <v>36</v>
      </c>
      <c r="D353" s="3" t="n">
        <v>46041.71666666667</v>
      </c>
      <c r="E353" t="n">
        <v>4999</v>
      </c>
      <c r="F353" t="inlineStr">
        <is>
          <t>UPI</t>
        </is>
      </c>
      <c r="G353" t="inlineStr">
        <is>
          <t>captured</t>
        </is>
      </c>
      <c r="H353" t="n">
        <v>36</v>
      </c>
      <c r="I353" s="4">
        <f>INT(D353)</f>
        <v/>
      </c>
      <c r="J353">
        <f>IFERROR(VLOOKUP(C353,Merchants!$A$2:$D$41,2,FALSE),"Merchant not found")</f>
        <v/>
      </c>
      <c r="K353">
        <f>IFERROR(VLOOKUP(C353,Merchants!$A$2:$D$41,3,FALSE),"Merchant not found")</f>
        <v/>
      </c>
      <c r="L353">
        <f>IFERROR(VLOOKUP(C353,Merchants!$A$2:$D$41,4,FALSE),"Merchant not found")</f>
        <v/>
      </c>
      <c r="M353" s="5">
        <f>HLOOKUP(F353,Fee_Reference!$B$1:$E$2,2,FALSE)</f>
        <v/>
      </c>
      <c r="N353">
        <f>SUMIFS($E$2:$E$548,$C$2:$C$548,C353,$I$2:$I$548,I353)</f>
        <v/>
      </c>
      <c r="O353">
        <f>IF(J353="Merchant not found","Merchant not found",IF(AND(N353&gt;5000,L353&lt;&gt;"East"),"High-Value Merchant Day","Normal Merchant Day"))</f>
        <v/>
      </c>
    </row>
    <row r="354">
      <c r="A354" t="inlineStr">
        <is>
          <t>TXN100352</t>
        </is>
      </c>
      <c r="B354" t="n">
        <v>231</v>
      </c>
      <c r="C354" t="n">
        <v>36</v>
      </c>
      <c r="D354" s="3" t="n">
        <v>46025.52222222222</v>
      </c>
      <c r="E354" t="n">
        <v>149</v>
      </c>
      <c r="F354" t="inlineStr">
        <is>
          <t>UPI</t>
        </is>
      </c>
      <c r="G354" t="inlineStr">
        <is>
          <t>captured</t>
        </is>
      </c>
      <c r="H354" t="n">
        <v>35</v>
      </c>
      <c r="I354" s="4">
        <f>INT(D354)</f>
        <v/>
      </c>
      <c r="J354">
        <f>IFERROR(VLOOKUP(C354,Merchants!$A$2:$D$41,2,FALSE),"Merchant not found")</f>
        <v/>
      </c>
      <c r="K354">
        <f>IFERROR(VLOOKUP(C354,Merchants!$A$2:$D$41,3,FALSE),"Merchant not found")</f>
        <v/>
      </c>
      <c r="L354">
        <f>IFERROR(VLOOKUP(C354,Merchants!$A$2:$D$41,4,FALSE),"Merchant not found")</f>
        <v/>
      </c>
      <c r="M354" s="5">
        <f>HLOOKUP(F354,Fee_Reference!$B$1:$E$2,2,FALSE)</f>
        <v/>
      </c>
      <c r="N354">
        <f>SUMIFS($E$2:$E$548,$C$2:$C$548,C354,$I$2:$I$548,I354)</f>
        <v/>
      </c>
      <c r="O354">
        <f>IF(J354="Merchant not found","Merchant not found",IF(AND(N354&gt;5000,L354&lt;&gt;"East"),"High-Value Merchant Day","Normal Merchant Day"))</f>
        <v/>
      </c>
    </row>
    <row r="355">
      <c r="A355" t="inlineStr">
        <is>
          <t>TXN100353</t>
        </is>
      </c>
      <c r="B355" t="n">
        <v>313</v>
      </c>
      <c r="C355" t="n">
        <v>8</v>
      </c>
      <c r="D355" s="3" t="n">
        <v>46049.82152777778</v>
      </c>
      <c r="E355" t="n">
        <v>1499</v>
      </c>
      <c r="F355" t="inlineStr">
        <is>
          <t>Netbanking</t>
        </is>
      </c>
      <c r="G355" t="inlineStr">
        <is>
          <t>captured</t>
        </is>
      </c>
      <c r="H355" t="n">
        <v>16</v>
      </c>
      <c r="I355" s="4">
        <f>INT(D355)</f>
        <v/>
      </c>
      <c r="J355">
        <f>IFERROR(VLOOKUP(C355,Merchants!$A$2:$D$41,2,FALSE),"Merchant not found")</f>
        <v/>
      </c>
      <c r="K355">
        <f>IFERROR(VLOOKUP(C355,Merchants!$A$2:$D$41,3,FALSE),"Merchant not found")</f>
        <v/>
      </c>
      <c r="L355">
        <f>IFERROR(VLOOKUP(C355,Merchants!$A$2:$D$41,4,FALSE),"Merchant not found")</f>
        <v/>
      </c>
      <c r="M355" s="5">
        <f>HLOOKUP(F355,Fee_Reference!$B$1:$E$2,2,FALSE)</f>
        <v/>
      </c>
      <c r="N355">
        <f>SUMIFS($E$2:$E$548,$C$2:$C$548,C355,$I$2:$I$548,I355)</f>
        <v/>
      </c>
      <c r="O355">
        <f>IF(J355="Merchant not found","Merchant not found",IF(AND(N355&gt;5000,L355&lt;&gt;"East"),"High-Value Merchant Day","Normal Merchant Day"))</f>
        <v/>
      </c>
    </row>
    <row r="356">
      <c r="A356" t="inlineStr">
        <is>
          <t>TXN100354</t>
        </is>
      </c>
      <c r="B356" t="n">
        <v>174</v>
      </c>
      <c r="C356" t="n">
        <v>36</v>
      </c>
      <c r="D356" s="3" t="n">
        <v>46026.51597222222</v>
      </c>
      <c r="E356" t="n">
        <v>149</v>
      </c>
      <c r="F356" t="inlineStr">
        <is>
          <t>UPI</t>
        </is>
      </c>
      <c r="G356" t="inlineStr">
        <is>
          <t>captured</t>
        </is>
      </c>
      <c r="H356" t="n">
        <v>46</v>
      </c>
      <c r="I356" s="4">
        <f>INT(D356)</f>
        <v/>
      </c>
      <c r="J356">
        <f>IFERROR(VLOOKUP(C356,Merchants!$A$2:$D$41,2,FALSE),"Merchant not found")</f>
        <v/>
      </c>
      <c r="K356">
        <f>IFERROR(VLOOKUP(C356,Merchants!$A$2:$D$41,3,FALSE),"Merchant not found")</f>
        <v/>
      </c>
      <c r="L356">
        <f>IFERROR(VLOOKUP(C356,Merchants!$A$2:$D$41,4,FALSE),"Merchant not found")</f>
        <v/>
      </c>
      <c r="M356" s="5">
        <f>HLOOKUP(F356,Fee_Reference!$B$1:$E$2,2,FALSE)</f>
        <v/>
      </c>
      <c r="N356">
        <f>SUMIFS($E$2:$E$548,$C$2:$C$548,C356,$I$2:$I$548,I356)</f>
        <v/>
      </c>
      <c r="O356">
        <f>IF(J356="Merchant not found","Merchant not found",IF(AND(N356&gt;5000,L356&lt;&gt;"East"),"High-Value Merchant Day","Normal Merchant Day"))</f>
        <v/>
      </c>
    </row>
    <row r="357">
      <c r="A357" t="inlineStr">
        <is>
          <t>TXN100355</t>
        </is>
      </c>
      <c r="B357" t="n">
        <v>309</v>
      </c>
      <c r="C357" t="n">
        <v>33</v>
      </c>
      <c r="D357" s="3" t="n">
        <v>46047.175</v>
      </c>
      <c r="E357" t="n">
        <v>99</v>
      </c>
      <c r="F357" t="inlineStr">
        <is>
          <t>UPI</t>
        </is>
      </c>
      <c r="G357" t="inlineStr">
        <is>
          <t>captured</t>
        </is>
      </c>
      <c r="H357" t="n">
        <v>51</v>
      </c>
      <c r="I357" s="4">
        <f>INT(D357)</f>
        <v/>
      </c>
      <c r="J357">
        <f>IFERROR(VLOOKUP(C357,Merchants!$A$2:$D$41,2,FALSE),"Merchant not found")</f>
        <v/>
      </c>
      <c r="K357">
        <f>IFERROR(VLOOKUP(C357,Merchants!$A$2:$D$41,3,FALSE),"Merchant not found")</f>
        <v/>
      </c>
      <c r="L357">
        <f>IFERROR(VLOOKUP(C357,Merchants!$A$2:$D$41,4,FALSE),"Merchant not found")</f>
        <v/>
      </c>
      <c r="M357" s="5">
        <f>HLOOKUP(F357,Fee_Reference!$B$1:$E$2,2,FALSE)</f>
        <v/>
      </c>
      <c r="N357">
        <f>SUMIFS($E$2:$E$548,$C$2:$C$548,C357,$I$2:$I$548,I357)</f>
        <v/>
      </c>
      <c r="O357">
        <f>IF(J357="Merchant not found","Merchant not found",IF(AND(N357&gt;5000,L357&lt;&gt;"East"),"High-Value Merchant Day","Normal Merchant Day"))</f>
        <v/>
      </c>
    </row>
    <row r="358">
      <c r="A358" t="inlineStr">
        <is>
          <t>TXN100356</t>
        </is>
      </c>
      <c r="B358" t="n">
        <v>20</v>
      </c>
      <c r="C358" t="n">
        <v>9</v>
      </c>
      <c r="D358" s="3" t="n">
        <v>46039.04305555556</v>
      </c>
      <c r="E358" t="n">
        <v>99</v>
      </c>
      <c r="F358" t="inlineStr">
        <is>
          <t>UPI</t>
        </is>
      </c>
      <c r="G358" t="inlineStr">
        <is>
          <t>captured</t>
        </is>
      </c>
      <c r="H358" t="n">
        <v>91</v>
      </c>
      <c r="I358" s="4">
        <f>INT(D358)</f>
        <v/>
      </c>
      <c r="J358">
        <f>IFERROR(VLOOKUP(C358,Merchants!$A$2:$D$41,2,FALSE),"Merchant not found")</f>
        <v/>
      </c>
      <c r="K358">
        <f>IFERROR(VLOOKUP(C358,Merchants!$A$2:$D$41,3,FALSE),"Merchant not found")</f>
        <v/>
      </c>
      <c r="L358">
        <f>IFERROR(VLOOKUP(C358,Merchants!$A$2:$D$41,4,FALSE),"Merchant not found")</f>
        <v/>
      </c>
      <c r="M358" s="5">
        <f>HLOOKUP(F358,Fee_Reference!$B$1:$E$2,2,FALSE)</f>
        <v/>
      </c>
      <c r="N358">
        <f>SUMIFS($E$2:$E$548,$C$2:$C$548,C358,$I$2:$I$548,I358)</f>
        <v/>
      </c>
      <c r="O358">
        <f>IF(J358="Merchant not found","Merchant not found",IF(AND(N358&gt;5000,L358&lt;&gt;"East"),"High-Value Merchant Day","Normal Merchant Day"))</f>
        <v/>
      </c>
    </row>
    <row r="359">
      <c r="A359" t="inlineStr">
        <is>
          <t>TXN100357</t>
        </is>
      </c>
      <c r="B359" t="n">
        <v>234</v>
      </c>
      <c r="C359" t="n">
        <v>10</v>
      </c>
      <c r="D359" s="3" t="n">
        <v>46033.64791666667</v>
      </c>
      <c r="E359" t="n">
        <v>49</v>
      </c>
      <c r="F359" t="inlineStr">
        <is>
          <t>UPI</t>
        </is>
      </c>
      <c r="G359" t="inlineStr">
        <is>
          <t>captured</t>
        </is>
      </c>
      <c r="H359" t="n">
        <v>77</v>
      </c>
      <c r="I359" s="4">
        <f>INT(D359)</f>
        <v/>
      </c>
      <c r="J359">
        <f>IFERROR(VLOOKUP(C359,Merchants!$A$2:$D$41,2,FALSE),"Merchant not found")</f>
        <v/>
      </c>
      <c r="K359">
        <f>IFERROR(VLOOKUP(C359,Merchants!$A$2:$D$41,3,FALSE),"Merchant not found")</f>
        <v/>
      </c>
      <c r="L359">
        <f>IFERROR(VLOOKUP(C359,Merchants!$A$2:$D$41,4,FALSE),"Merchant not found")</f>
        <v/>
      </c>
      <c r="M359" s="5">
        <f>HLOOKUP(F359,Fee_Reference!$B$1:$E$2,2,FALSE)</f>
        <v/>
      </c>
      <c r="N359">
        <f>SUMIFS($E$2:$E$548,$C$2:$C$548,C359,$I$2:$I$548,I359)</f>
        <v/>
      </c>
      <c r="O359">
        <f>IF(J359="Merchant not found","Merchant not found",IF(AND(N359&gt;5000,L359&lt;&gt;"East"),"High-Value Merchant Day","Normal Merchant Day"))</f>
        <v/>
      </c>
    </row>
    <row r="360">
      <c r="A360" t="inlineStr">
        <is>
          <t>TXN100358</t>
        </is>
      </c>
      <c r="B360" t="n">
        <v>168</v>
      </c>
      <c r="C360" t="n">
        <v>40</v>
      </c>
      <c r="D360" s="3" t="n">
        <v>46051.67222222222</v>
      </c>
      <c r="E360" t="n">
        <v>149</v>
      </c>
      <c r="F360" t="inlineStr">
        <is>
          <t>UPI</t>
        </is>
      </c>
      <c r="G360" t="inlineStr">
        <is>
          <t>chargeback</t>
        </is>
      </c>
      <c r="H360" t="n">
        <v>40</v>
      </c>
      <c r="I360" s="4">
        <f>INT(D360)</f>
        <v/>
      </c>
      <c r="J360">
        <f>IFERROR(VLOOKUP(C360,Merchants!$A$2:$D$41,2,FALSE),"Merchant not found")</f>
        <v/>
      </c>
      <c r="K360">
        <f>IFERROR(VLOOKUP(C360,Merchants!$A$2:$D$41,3,FALSE),"Merchant not found")</f>
        <v/>
      </c>
      <c r="L360">
        <f>IFERROR(VLOOKUP(C360,Merchants!$A$2:$D$41,4,FALSE),"Merchant not found")</f>
        <v/>
      </c>
      <c r="M360" s="5">
        <f>HLOOKUP(F360,Fee_Reference!$B$1:$E$2,2,FALSE)</f>
        <v/>
      </c>
      <c r="N360">
        <f>SUMIFS($E$2:$E$548,$C$2:$C$548,C360,$I$2:$I$548,I360)</f>
        <v/>
      </c>
      <c r="O360">
        <f>IF(J360="Merchant not found","Merchant not found",IF(AND(N360&gt;5000,L360&lt;&gt;"East"),"High-Value Merchant Day","Normal Merchant Day"))</f>
        <v/>
      </c>
    </row>
    <row r="361">
      <c r="A361" t="inlineStr">
        <is>
          <t>TXN100359</t>
        </is>
      </c>
      <c r="B361" t="n">
        <v>154</v>
      </c>
      <c r="C361" t="n">
        <v>38</v>
      </c>
      <c r="D361" s="3" t="n">
        <v>46028.52708333333</v>
      </c>
      <c r="E361" t="n">
        <v>99</v>
      </c>
      <c r="F361" t="inlineStr">
        <is>
          <t>Netbanking</t>
        </is>
      </c>
      <c r="G361" t="inlineStr">
        <is>
          <t>captured</t>
        </is>
      </c>
      <c r="H361" t="n">
        <v>43</v>
      </c>
      <c r="I361" s="4">
        <f>INT(D361)</f>
        <v/>
      </c>
      <c r="J361">
        <f>IFERROR(VLOOKUP(C361,Merchants!$A$2:$D$41,2,FALSE),"Merchant not found")</f>
        <v/>
      </c>
      <c r="K361">
        <f>IFERROR(VLOOKUP(C361,Merchants!$A$2:$D$41,3,FALSE),"Merchant not found")</f>
        <v/>
      </c>
      <c r="L361">
        <f>IFERROR(VLOOKUP(C361,Merchants!$A$2:$D$41,4,FALSE),"Merchant not found")</f>
        <v/>
      </c>
      <c r="M361" s="5">
        <f>HLOOKUP(F361,Fee_Reference!$B$1:$E$2,2,FALSE)</f>
        <v/>
      </c>
      <c r="N361">
        <f>SUMIFS($E$2:$E$548,$C$2:$C$548,C361,$I$2:$I$548,I361)</f>
        <v/>
      </c>
      <c r="O361">
        <f>IF(J361="Merchant not found","Merchant not found",IF(AND(N361&gt;5000,L361&lt;&gt;"East"),"High-Value Merchant Day","Normal Merchant Day"))</f>
        <v/>
      </c>
    </row>
    <row r="362">
      <c r="A362" t="inlineStr">
        <is>
          <t>TXN100360</t>
        </is>
      </c>
      <c r="B362" t="n">
        <v>251</v>
      </c>
      <c r="C362" t="n">
        <v>37</v>
      </c>
      <c r="D362" s="3" t="n">
        <v>46039.69027777778</v>
      </c>
      <c r="E362" t="n">
        <v>49</v>
      </c>
      <c r="F362" t="inlineStr">
        <is>
          <t>UPI</t>
        </is>
      </c>
      <c r="G362" t="inlineStr">
        <is>
          <t>captured</t>
        </is>
      </c>
      <c r="H362" t="n">
        <v>38</v>
      </c>
      <c r="I362" s="4">
        <f>INT(D362)</f>
        <v/>
      </c>
      <c r="J362">
        <f>IFERROR(VLOOKUP(C362,Merchants!$A$2:$D$41,2,FALSE),"Merchant not found")</f>
        <v/>
      </c>
      <c r="K362">
        <f>IFERROR(VLOOKUP(C362,Merchants!$A$2:$D$41,3,FALSE),"Merchant not found")</f>
        <v/>
      </c>
      <c r="L362">
        <f>IFERROR(VLOOKUP(C362,Merchants!$A$2:$D$41,4,FALSE),"Merchant not found")</f>
        <v/>
      </c>
      <c r="M362" s="5">
        <f>HLOOKUP(F362,Fee_Reference!$B$1:$E$2,2,FALSE)</f>
        <v/>
      </c>
      <c r="N362">
        <f>SUMIFS($E$2:$E$548,$C$2:$C$548,C362,$I$2:$I$548,I362)</f>
        <v/>
      </c>
      <c r="O362">
        <f>IF(J362="Merchant not found","Merchant not found",IF(AND(N362&gt;5000,L362&lt;&gt;"East"),"High-Value Merchant Day","Normal Merchant Day"))</f>
        <v/>
      </c>
    </row>
    <row r="363">
      <c r="A363" t="inlineStr">
        <is>
          <t>TXN100361</t>
        </is>
      </c>
      <c r="B363" t="n">
        <v>170</v>
      </c>
      <c r="C363" t="n">
        <v>8</v>
      </c>
      <c r="D363" s="3" t="n">
        <v>46038.01597222222</v>
      </c>
      <c r="E363" t="n">
        <v>2999</v>
      </c>
      <c r="F363" t="inlineStr">
        <is>
          <t>UPI</t>
        </is>
      </c>
      <c r="G363" t="inlineStr">
        <is>
          <t>captured</t>
        </is>
      </c>
      <c r="H363" t="n">
        <v>53</v>
      </c>
      <c r="I363" s="4">
        <f>INT(D363)</f>
        <v/>
      </c>
      <c r="J363">
        <f>IFERROR(VLOOKUP(C363,Merchants!$A$2:$D$41,2,FALSE),"Merchant not found")</f>
        <v/>
      </c>
      <c r="K363">
        <f>IFERROR(VLOOKUP(C363,Merchants!$A$2:$D$41,3,FALSE),"Merchant not found")</f>
        <v/>
      </c>
      <c r="L363">
        <f>IFERROR(VLOOKUP(C363,Merchants!$A$2:$D$41,4,FALSE),"Merchant not found")</f>
        <v/>
      </c>
      <c r="M363" s="5">
        <f>HLOOKUP(F363,Fee_Reference!$B$1:$E$2,2,FALSE)</f>
        <v/>
      </c>
      <c r="N363">
        <f>SUMIFS($E$2:$E$548,$C$2:$C$548,C363,$I$2:$I$548,I363)</f>
        <v/>
      </c>
      <c r="O363">
        <f>IF(J363="Merchant not found","Merchant not found",IF(AND(N363&gt;5000,L363&lt;&gt;"East"),"High-Value Merchant Day","Normal Merchant Day"))</f>
        <v/>
      </c>
    </row>
    <row r="364">
      <c r="A364" t="inlineStr">
        <is>
          <t>TXN100362</t>
        </is>
      </c>
      <c r="B364" t="n">
        <v>323</v>
      </c>
      <c r="C364" t="n">
        <v>2</v>
      </c>
      <c r="D364" s="3" t="n">
        <v>46041.40972222222</v>
      </c>
      <c r="E364" t="n">
        <v>49</v>
      </c>
      <c r="F364" t="inlineStr">
        <is>
          <t>Netbanking</t>
        </is>
      </c>
      <c r="G364" t="inlineStr">
        <is>
          <t>captured</t>
        </is>
      </c>
      <c r="H364" t="n">
        <v>76</v>
      </c>
      <c r="I364" s="4">
        <f>INT(D364)</f>
        <v/>
      </c>
      <c r="J364">
        <f>IFERROR(VLOOKUP(C364,Merchants!$A$2:$D$41,2,FALSE),"Merchant not found")</f>
        <v/>
      </c>
      <c r="K364">
        <f>IFERROR(VLOOKUP(C364,Merchants!$A$2:$D$41,3,FALSE),"Merchant not found")</f>
        <v/>
      </c>
      <c r="L364">
        <f>IFERROR(VLOOKUP(C364,Merchants!$A$2:$D$41,4,FALSE),"Merchant not found")</f>
        <v/>
      </c>
      <c r="M364" s="5">
        <f>HLOOKUP(F364,Fee_Reference!$B$1:$E$2,2,FALSE)</f>
        <v/>
      </c>
      <c r="N364">
        <f>SUMIFS($E$2:$E$548,$C$2:$C$548,C364,$I$2:$I$548,I364)</f>
        <v/>
      </c>
      <c r="O364">
        <f>IF(J364="Merchant not found","Merchant not found",IF(AND(N364&gt;5000,L364&lt;&gt;"East"),"High-Value Merchant Day","Normal Merchant Day"))</f>
        <v/>
      </c>
    </row>
    <row r="365">
      <c r="A365" t="inlineStr">
        <is>
          <t>TXN100363</t>
        </is>
      </c>
      <c r="B365" t="n">
        <v>297</v>
      </c>
      <c r="C365" t="n">
        <v>37</v>
      </c>
      <c r="D365" s="3" t="n">
        <v>46038.36180555556</v>
      </c>
      <c r="E365" t="n">
        <v>2999</v>
      </c>
      <c r="F365" t="inlineStr">
        <is>
          <t>Wallet</t>
        </is>
      </c>
      <c r="G365" t="inlineStr">
        <is>
          <t>captured</t>
        </is>
      </c>
      <c r="H365" t="n">
        <v>29</v>
      </c>
      <c r="I365" s="4">
        <f>INT(D365)</f>
        <v/>
      </c>
      <c r="J365">
        <f>IFERROR(VLOOKUP(C365,Merchants!$A$2:$D$41,2,FALSE),"Merchant not found")</f>
        <v/>
      </c>
      <c r="K365">
        <f>IFERROR(VLOOKUP(C365,Merchants!$A$2:$D$41,3,FALSE),"Merchant not found")</f>
        <v/>
      </c>
      <c r="L365">
        <f>IFERROR(VLOOKUP(C365,Merchants!$A$2:$D$41,4,FALSE),"Merchant not found")</f>
        <v/>
      </c>
      <c r="M365" s="5">
        <f>HLOOKUP(F365,Fee_Reference!$B$1:$E$2,2,FALSE)</f>
        <v/>
      </c>
      <c r="N365">
        <f>SUMIFS($E$2:$E$548,$C$2:$C$548,C365,$I$2:$I$548,I365)</f>
        <v/>
      </c>
      <c r="O365">
        <f>IF(J365="Merchant not found","Merchant not found",IF(AND(N365&gt;5000,L365&lt;&gt;"East"),"High-Value Merchant Day","Normal Merchant Day"))</f>
        <v/>
      </c>
    </row>
    <row r="366">
      <c r="A366" t="inlineStr">
        <is>
          <t>TXN100364</t>
        </is>
      </c>
      <c r="B366" t="n">
        <v>246</v>
      </c>
      <c r="C366" t="n">
        <v>11</v>
      </c>
      <c r="D366" s="3" t="n">
        <v>46046.06736111111</v>
      </c>
      <c r="E366" t="n">
        <v>299</v>
      </c>
      <c r="F366" t="inlineStr">
        <is>
          <t>UPI</t>
        </is>
      </c>
      <c r="G366" t="inlineStr">
        <is>
          <t>captured</t>
        </is>
      </c>
      <c r="H366" t="n">
        <v>67</v>
      </c>
      <c r="I366" s="4">
        <f>INT(D366)</f>
        <v/>
      </c>
      <c r="J366">
        <f>IFERROR(VLOOKUP(C366,Merchants!$A$2:$D$41,2,FALSE),"Merchant not found")</f>
        <v/>
      </c>
      <c r="K366">
        <f>IFERROR(VLOOKUP(C366,Merchants!$A$2:$D$41,3,FALSE),"Merchant not found")</f>
        <v/>
      </c>
      <c r="L366">
        <f>IFERROR(VLOOKUP(C366,Merchants!$A$2:$D$41,4,FALSE),"Merchant not found")</f>
        <v/>
      </c>
      <c r="M366" s="5">
        <f>HLOOKUP(F366,Fee_Reference!$B$1:$E$2,2,FALSE)</f>
        <v/>
      </c>
      <c r="N366">
        <f>SUMIFS($E$2:$E$548,$C$2:$C$548,C366,$I$2:$I$548,I366)</f>
        <v/>
      </c>
      <c r="O366">
        <f>IF(J366="Merchant not found","Merchant not found",IF(AND(N366&gt;5000,L366&lt;&gt;"East"),"High-Value Merchant Day","Normal Merchant Day"))</f>
        <v/>
      </c>
    </row>
    <row r="367">
      <c r="A367" t="inlineStr">
        <is>
          <t>TXN100365</t>
        </is>
      </c>
      <c r="B367" t="n">
        <v>195</v>
      </c>
      <c r="C367" t="n">
        <v>10</v>
      </c>
      <c r="D367" s="3" t="n">
        <v>46043.98541666667</v>
      </c>
      <c r="E367" t="n">
        <v>99</v>
      </c>
      <c r="F367" t="inlineStr">
        <is>
          <t>UPI</t>
        </is>
      </c>
      <c r="G367" t="inlineStr">
        <is>
          <t>captured</t>
        </is>
      </c>
      <c r="H367" t="n">
        <v>87</v>
      </c>
      <c r="I367" s="4">
        <f>INT(D367)</f>
        <v/>
      </c>
      <c r="J367">
        <f>IFERROR(VLOOKUP(C367,Merchants!$A$2:$D$41,2,FALSE),"Merchant not found")</f>
        <v/>
      </c>
      <c r="K367">
        <f>IFERROR(VLOOKUP(C367,Merchants!$A$2:$D$41,3,FALSE),"Merchant not found")</f>
        <v/>
      </c>
      <c r="L367">
        <f>IFERROR(VLOOKUP(C367,Merchants!$A$2:$D$41,4,FALSE),"Merchant not found")</f>
        <v/>
      </c>
      <c r="M367" s="5">
        <f>HLOOKUP(F367,Fee_Reference!$B$1:$E$2,2,FALSE)</f>
        <v/>
      </c>
      <c r="N367">
        <f>SUMIFS($E$2:$E$548,$C$2:$C$548,C367,$I$2:$I$548,I367)</f>
        <v/>
      </c>
      <c r="O367">
        <f>IF(J367="Merchant not found","Merchant not found",IF(AND(N367&gt;5000,L367&lt;&gt;"East"),"High-Value Merchant Day","Normal Merchant Day"))</f>
        <v/>
      </c>
    </row>
    <row r="368">
      <c r="A368" t="inlineStr">
        <is>
          <t>TXN100366</t>
        </is>
      </c>
      <c r="B368" t="n">
        <v>57</v>
      </c>
      <c r="C368" t="n">
        <v>13</v>
      </c>
      <c r="D368" s="3" t="n">
        <v>46030.06666666667</v>
      </c>
      <c r="E368" t="n">
        <v>149</v>
      </c>
      <c r="F368" t="inlineStr">
        <is>
          <t>UPI</t>
        </is>
      </c>
      <c r="G368" t="inlineStr">
        <is>
          <t>captured</t>
        </is>
      </c>
      <c r="H368" t="n">
        <v>2</v>
      </c>
      <c r="I368" s="4">
        <f>INT(D368)</f>
        <v/>
      </c>
      <c r="J368">
        <f>IFERROR(VLOOKUP(C368,Merchants!$A$2:$D$41,2,FALSE),"Merchant not found")</f>
        <v/>
      </c>
      <c r="K368">
        <f>IFERROR(VLOOKUP(C368,Merchants!$A$2:$D$41,3,FALSE),"Merchant not found")</f>
        <v/>
      </c>
      <c r="L368">
        <f>IFERROR(VLOOKUP(C368,Merchants!$A$2:$D$41,4,FALSE),"Merchant not found")</f>
        <v/>
      </c>
      <c r="M368" s="5">
        <f>HLOOKUP(F368,Fee_Reference!$B$1:$E$2,2,FALSE)</f>
        <v/>
      </c>
      <c r="N368">
        <f>SUMIFS($E$2:$E$548,$C$2:$C$548,C368,$I$2:$I$548,I368)</f>
        <v/>
      </c>
      <c r="O368">
        <f>IF(J368="Merchant not found","Merchant not found",IF(AND(N368&gt;5000,L368&lt;&gt;"East"),"High-Value Merchant Day","Normal Merchant Day"))</f>
        <v/>
      </c>
    </row>
    <row r="369">
      <c r="A369" t="inlineStr">
        <is>
          <t>TXN100367</t>
        </is>
      </c>
      <c r="B369" t="n">
        <v>78</v>
      </c>
      <c r="C369" t="n">
        <v>27</v>
      </c>
      <c r="D369" s="3" t="n">
        <v>46037.43472222222</v>
      </c>
      <c r="E369" t="n">
        <v>1499</v>
      </c>
      <c r="F369" t="inlineStr">
        <is>
          <t>Netbanking</t>
        </is>
      </c>
      <c r="G369" t="inlineStr">
        <is>
          <t>failed</t>
        </is>
      </c>
      <c r="H369" t="n">
        <v>88</v>
      </c>
      <c r="I369" s="4">
        <f>INT(D369)</f>
        <v/>
      </c>
      <c r="J369">
        <f>IFERROR(VLOOKUP(C369,Merchants!$A$2:$D$41,2,FALSE),"Merchant not found")</f>
        <v/>
      </c>
      <c r="K369">
        <f>IFERROR(VLOOKUP(C369,Merchants!$A$2:$D$41,3,FALSE),"Merchant not found")</f>
        <v/>
      </c>
      <c r="L369">
        <f>IFERROR(VLOOKUP(C369,Merchants!$A$2:$D$41,4,FALSE),"Merchant not found")</f>
        <v/>
      </c>
      <c r="M369" s="5">
        <f>HLOOKUP(F369,Fee_Reference!$B$1:$E$2,2,FALSE)</f>
        <v/>
      </c>
      <c r="N369">
        <f>SUMIFS($E$2:$E$548,$C$2:$C$548,C369,$I$2:$I$548,I369)</f>
        <v/>
      </c>
      <c r="O369">
        <f>IF(J369="Merchant not found","Merchant not found",IF(AND(N369&gt;5000,L369&lt;&gt;"East"),"High-Value Merchant Day","Normal Merchant Day"))</f>
        <v/>
      </c>
    </row>
    <row r="370">
      <c r="A370" t="inlineStr">
        <is>
          <t>TXN100368</t>
        </is>
      </c>
      <c r="B370" t="n">
        <v>314</v>
      </c>
      <c r="C370" t="n">
        <v>31</v>
      </c>
      <c r="D370" s="3" t="n">
        <v>46029.56388888889</v>
      </c>
      <c r="E370" t="n">
        <v>49</v>
      </c>
      <c r="F370" t="inlineStr">
        <is>
          <t>UPI</t>
        </is>
      </c>
      <c r="G370" t="inlineStr">
        <is>
          <t>chargeback</t>
        </is>
      </c>
      <c r="H370" t="n">
        <v>94</v>
      </c>
      <c r="I370" s="4">
        <f>INT(D370)</f>
        <v/>
      </c>
      <c r="J370">
        <f>IFERROR(VLOOKUP(C370,Merchants!$A$2:$D$41,2,FALSE),"Merchant not found")</f>
        <v/>
      </c>
      <c r="K370">
        <f>IFERROR(VLOOKUP(C370,Merchants!$A$2:$D$41,3,FALSE),"Merchant not found")</f>
        <v/>
      </c>
      <c r="L370">
        <f>IFERROR(VLOOKUP(C370,Merchants!$A$2:$D$41,4,FALSE),"Merchant not found")</f>
        <v/>
      </c>
      <c r="M370" s="5">
        <f>HLOOKUP(F370,Fee_Reference!$B$1:$E$2,2,FALSE)</f>
        <v/>
      </c>
      <c r="N370">
        <f>SUMIFS($E$2:$E$548,$C$2:$C$548,C370,$I$2:$I$548,I370)</f>
        <v/>
      </c>
      <c r="O370">
        <f>IF(J370="Merchant not found","Merchant not found",IF(AND(N370&gt;5000,L370&lt;&gt;"East"),"High-Value Merchant Day","Normal Merchant Day"))</f>
        <v/>
      </c>
    </row>
    <row r="371">
      <c r="A371" t="inlineStr">
        <is>
          <t>TXN100369</t>
        </is>
      </c>
      <c r="B371" t="n">
        <v>71</v>
      </c>
      <c r="C371" t="n">
        <v>34</v>
      </c>
      <c r="D371" s="3" t="n">
        <v>46046.07291666666</v>
      </c>
      <c r="E371" t="n">
        <v>499</v>
      </c>
      <c r="F371" t="inlineStr">
        <is>
          <t>UPI</t>
        </is>
      </c>
      <c r="G371" t="inlineStr">
        <is>
          <t>captured</t>
        </is>
      </c>
      <c r="H371" t="n">
        <v>26</v>
      </c>
      <c r="I371" s="4">
        <f>INT(D371)</f>
        <v/>
      </c>
      <c r="J371">
        <f>IFERROR(VLOOKUP(C371,Merchants!$A$2:$D$41,2,FALSE),"Merchant not found")</f>
        <v/>
      </c>
      <c r="K371">
        <f>IFERROR(VLOOKUP(C371,Merchants!$A$2:$D$41,3,FALSE),"Merchant not found")</f>
        <v/>
      </c>
      <c r="L371">
        <f>IFERROR(VLOOKUP(C371,Merchants!$A$2:$D$41,4,FALSE),"Merchant not found")</f>
        <v/>
      </c>
      <c r="M371" s="5">
        <f>HLOOKUP(F371,Fee_Reference!$B$1:$E$2,2,FALSE)</f>
        <v/>
      </c>
      <c r="N371">
        <f>SUMIFS($E$2:$E$548,$C$2:$C$548,C371,$I$2:$I$548,I371)</f>
        <v/>
      </c>
      <c r="O371">
        <f>IF(J371="Merchant not found","Merchant not found",IF(AND(N371&gt;5000,L371&lt;&gt;"East"),"High-Value Merchant Day","Normal Merchant Day"))</f>
        <v/>
      </c>
    </row>
    <row r="372">
      <c r="A372" t="inlineStr">
        <is>
          <t>TXN100370</t>
        </is>
      </c>
      <c r="B372" t="n">
        <v>245</v>
      </c>
      <c r="C372" t="n">
        <v>34</v>
      </c>
      <c r="D372" s="3" t="n">
        <v>46040.44583333333</v>
      </c>
      <c r="E372" t="n">
        <v>99</v>
      </c>
      <c r="F372" t="inlineStr">
        <is>
          <t>UPI</t>
        </is>
      </c>
      <c r="G372" t="inlineStr">
        <is>
          <t>captured</t>
        </is>
      </c>
      <c r="H372" t="n">
        <v>48</v>
      </c>
      <c r="I372" s="4">
        <f>INT(D372)</f>
        <v/>
      </c>
      <c r="J372">
        <f>IFERROR(VLOOKUP(C372,Merchants!$A$2:$D$41,2,FALSE),"Merchant not found")</f>
        <v/>
      </c>
      <c r="K372">
        <f>IFERROR(VLOOKUP(C372,Merchants!$A$2:$D$41,3,FALSE),"Merchant not found")</f>
        <v/>
      </c>
      <c r="L372">
        <f>IFERROR(VLOOKUP(C372,Merchants!$A$2:$D$41,4,FALSE),"Merchant not found")</f>
        <v/>
      </c>
      <c r="M372" s="5">
        <f>HLOOKUP(F372,Fee_Reference!$B$1:$E$2,2,FALSE)</f>
        <v/>
      </c>
      <c r="N372">
        <f>SUMIFS($E$2:$E$548,$C$2:$C$548,C372,$I$2:$I$548,I372)</f>
        <v/>
      </c>
      <c r="O372">
        <f>IF(J372="Merchant not found","Merchant not found",IF(AND(N372&gt;5000,L372&lt;&gt;"East"),"High-Value Merchant Day","Normal Merchant Day"))</f>
        <v/>
      </c>
    </row>
    <row r="373">
      <c r="A373" t="inlineStr">
        <is>
          <t>TXN100371</t>
        </is>
      </c>
      <c r="B373" t="n">
        <v>273</v>
      </c>
      <c r="C373" t="n">
        <v>22</v>
      </c>
      <c r="D373" s="3" t="n">
        <v>46033.22847222222</v>
      </c>
      <c r="E373" t="n">
        <v>299</v>
      </c>
      <c r="F373" t="inlineStr">
        <is>
          <t>Wallet</t>
        </is>
      </c>
      <c r="G373" t="inlineStr">
        <is>
          <t>captured</t>
        </is>
      </c>
      <c r="H373" t="n">
        <v>69</v>
      </c>
      <c r="I373" s="4">
        <f>INT(D373)</f>
        <v/>
      </c>
      <c r="J373">
        <f>IFERROR(VLOOKUP(C373,Merchants!$A$2:$D$41,2,FALSE),"Merchant not found")</f>
        <v/>
      </c>
      <c r="K373">
        <f>IFERROR(VLOOKUP(C373,Merchants!$A$2:$D$41,3,FALSE),"Merchant not found")</f>
        <v/>
      </c>
      <c r="L373">
        <f>IFERROR(VLOOKUP(C373,Merchants!$A$2:$D$41,4,FALSE),"Merchant not found")</f>
        <v/>
      </c>
      <c r="M373" s="5">
        <f>HLOOKUP(F373,Fee_Reference!$B$1:$E$2,2,FALSE)</f>
        <v/>
      </c>
      <c r="N373">
        <f>SUMIFS($E$2:$E$548,$C$2:$C$548,C373,$I$2:$I$548,I373)</f>
        <v/>
      </c>
      <c r="O373">
        <f>IF(J373="Merchant not found","Merchant not found",IF(AND(N373&gt;5000,L373&lt;&gt;"East"),"High-Value Merchant Day","Normal Merchant Day"))</f>
        <v/>
      </c>
    </row>
    <row r="374">
      <c r="A374" t="inlineStr">
        <is>
          <t>TXN100372</t>
        </is>
      </c>
      <c r="B374" t="n">
        <v>349</v>
      </c>
      <c r="C374" t="n">
        <v>17</v>
      </c>
      <c r="D374" s="3" t="n">
        <v>46034.90902777778</v>
      </c>
      <c r="E374" t="n">
        <v>1499</v>
      </c>
      <c r="F374" t="inlineStr">
        <is>
          <t>UPI</t>
        </is>
      </c>
      <c r="G374" t="inlineStr">
        <is>
          <t>captured</t>
        </is>
      </c>
      <c r="H374" t="n">
        <v>78</v>
      </c>
      <c r="I374" s="4">
        <f>INT(D374)</f>
        <v/>
      </c>
      <c r="J374">
        <f>IFERROR(VLOOKUP(C374,Merchants!$A$2:$D$41,2,FALSE),"Merchant not found")</f>
        <v/>
      </c>
      <c r="K374">
        <f>IFERROR(VLOOKUP(C374,Merchants!$A$2:$D$41,3,FALSE),"Merchant not found")</f>
        <v/>
      </c>
      <c r="L374">
        <f>IFERROR(VLOOKUP(C374,Merchants!$A$2:$D$41,4,FALSE),"Merchant not found")</f>
        <v/>
      </c>
      <c r="M374" s="5">
        <f>HLOOKUP(F374,Fee_Reference!$B$1:$E$2,2,FALSE)</f>
        <v/>
      </c>
      <c r="N374">
        <f>SUMIFS($E$2:$E$548,$C$2:$C$548,C374,$I$2:$I$548,I374)</f>
        <v/>
      </c>
      <c r="O374">
        <f>IF(J374="Merchant not found","Merchant not found",IF(AND(N374&gt;5000,L374&lt;&gt;"East"),"High-Value Merchant Day","Normal Merchant Day"))</f>
        <v/>
      </c>
    </row>
    <row r="375">
      <c r="A375" t="inlineStr">
        <is>
          <t>TXN100373</t>
        </is>
      </c>
      <c r="B375" t="n">
        <v>143</v>
      </c>
      <c r="C375" t="n">
        <v>36</v>
      </c>
      <c r="D375" s="3" t="n">
        <v>46038.26041666666</v>
      </c>
      <c r="E375" t="n">
        <v>1499</v>
      </c>
      <c r="F375" t="inlineStr">
        <is>
          <t>Netbanking</t>
        </is>
      </c>
      <c r="G375" t="inlineStr">
        <is>
          <t>captured</t>
        </is>
      </c>
      <c r="H375" t="n">
        <v>38</v>
      </c>
      <c r="I375" s="4">
        <f>INT(D375)</f>
        <v/>
      </c>
      <c r="J375">
        <f>IFERROR(VLOOKUP(C375,Merchants!$A$2:$D$41,2,FALSE),"Merchant not found")</f>
        <v/>
      </c>
      <c r="K375">
        <f>IFERROR(VLOOKUP(C375,Merchants!$A$2:$D$41,3,FALSE),"Merchant not found")</f>
        <v/>
      </c>
      <c r="L375">
        <f>IFERROR(VLOOKUP(C375,Merchants!$A$2:$D$41,4,FALSE),"Merchant not found")</f>
        <v/>
      </c>
      <c r="M375" s="5">
        <f>HLOOKUP(F375,Fee_Reference!$B$1:$E$2,2,FALSE)</f>
        <v/>
      </c>
      <c r="N375">
        <f>SUMIFS($E$2:$E$548,$C$2:$C$548,C375,$I$2:$I$548,I375)</f>
        <v/>
      </c>
      <c r="O375">
        <f>IF(J375="Merchant not found","Merchant not found",IF(AND(N375&gt;5000,L375&lt;&gt;"East"),"High-Value Merchant Day","Normal Merchant Day"))</f>
        <v/>
      </c>
    </row>
    <row r="376">
      <c r="A376" t="inlineStr">
        <is>
          <t>TXN100374</t>
        </is>
      </c>
      <c r="B376" t="n">
        <v>148</v>
      </c>
      <c r="C376" t="n">
        <v>14</v>
      </c>
      <c r="D376" s="3" t="n">
        <v>46030.40902777778</v>
      </c>
      <c r="E376" t="n">
        <v>799</v>
      </c>
      <c r="F376" t="inlineStr">
        <is>
          <t>Wallet</t>
        </is>
      </c>
      <c r="G376" t="inlineStr">
        <is>
          <t>captured</t>
        </is>
      </c>
      <c r="H376" t="n">
        <v>88</v>
      </c>
      <c r="I376" s="4">
        <f>INT(D376)</f>
        <v/>
      </c>
      <c r="J376">
        <f>IFERROR(VLOOKUP(C376,Merchants!$A$2:$D$41,2,FALSE),"Merchant not found")</f>
        <v/>
      </c>
      <c r="K376">
        <f>IFERROR(VLOOKUP(C376,Merchants!$A$2:$D$41,3,FALSE),"Merchant not found")</f>
        <v/>
      </c>
      <c r="L376">
        <f>IFERROR(VLOOKUP(C376,Merchants!$A$2:$D$41,4,FALSE),"Merchant not found")</f>
        <v/>
      </c>
      <c r="M376" s="5">
        <f>HLOOKUP(F376,Fee_Reference!$B$1:$E$2,2,FALSE)</f>
        <v/>
      </c>
      <c r="N376">
        <f>SUMIFS($E$2:$E$548,$C$2:$C$548,C376,$I$2:$I$548,I376)</f>
        <v/>
      </c>
      <c r="O376">
        <f>IF(J376="Merchant not found","Merchant not found",IF(AND(N376&gt;5000,L376&lt;&gt;"East"),"High-Value Merchant Day","Normal Merchant Day"))</f>
        <v/>
      </c>
    </row>
    <row r="377">
      <c r="A377" t="inlineStr">
        <is>
          <t>TXN100375</t>
        </is>
      </c>
      <c r="B377" t="n">
        <v>246</v>
      </c>
      <c r="C377" t="n">
        <v>23</v>
      </c>
      <c r="D377" s="3" t="n">
        <v>46045.63888888889</v>
      </c>
      <c r="E377" t="n">
        <v>49</v>
      </c>
      <c r="F377" t="inlineStr">
        <is>
          <t>UPI</t>
        </is>
      </c>
      <c r="G377" t="inlineStr">
        <is>
          <t>captured</t>
        </is>
      </c>
      <c r="H377" t="n">
        <v>71</v>
      </c>
      <c r="I377" s="4">
        <f>INT(D377)</f>
        <v/>
      </c>
      <c r="J377">
        <f>IFERROR(VLOOKUP(C377,Merchants!$A$2:$D$41,2,FALSE),"Merchant not found")</f>
        <v/>
      </c>
      <c r="K377">
        <f>IFERROR(VLOOKUP(C377,Merchants!$A$2:$D$41,3,FALSE),"Merchant not found")</f>
        <v/>
      </c>
      <c r="L377">
        <f>IFERROR(VLOOKUP(C377,Merchants!$A$2:$D$41,4,FALSE),"Merchant not found")</f>
        <v/>
      </c>
      <c r="M377" s="5">
        <f>HLOOKUP(F377,Fee_Reference!$B$1:$E$2,2,FALSE)</f>
        <v/>
      </c>
      <c r="N377">
        <f>SUMIFS($E$2:$E$548,$C$2:$C$548,C377,$I$2:$I$548,I377)</f>
        <v/>
      </c>
      <c r="O377">
        <f>IF(J377="Merchant not found","Merchant not found",IF(AND(N377&gt;5000,L377&lt;&gt;"East"),"High-Value Merchant Day","Normal Merchant Day"))</f>
        <v/>
      </c>
    </row>
    <row r="378">
      <c r="A378" t="inlineStr">
        <is>
          <t>TXN100376</t>
        </is>
      </c>
      <c r="B378" t="n">
        <v>148</v>
      </c>
      <c r="C378" t="n">
        <v>8</v>
      </c>
      <c r="D378" s="3" t="n">
        <v>46052.97013888889</v>
      </c>
      <c r="E378" t="n">
        <v>99</v>
      </c>
      <c r="F378" t="inlineStr">
        <is>
          <t>Wallet</t>
        </is>
      </c>
      <c r="G378" t="inlineStr">
        <is>
          <t>captured</t>
        </is>
      </c>
      <c r="H378" t="n">
        <v>73</v>
      </c>
      <c r="I378" s="4">
        <f>INT(D378)</f>
        <v/>
      </c>
      <c r="J378">
        <f>IFERROR(VLOOKUP(C378,Merchants!$A$2:$D$41,2,FALSE),"Merchant not found")</f>
        <v/>
      </c>
      <c r="K378">
        <f>IFERROR(VLOOKUP(C378,Merchants!$A$2:$D$41,3,FALSE),"Merchant not found")</f>
        <v/>
      </c>
      <c r="L378">
        <f>IFERROR(VLOOKUP(C378,Merchants!$A$2:$D$41,4,FALSE),"Merchant not found")</f>
        <v/>
      </c>
      <c r="M378" s="5">
        <f>HLOOKUP(F378,Fee_Reference!$B$1:$E$2,2,FALSE)</f>
        <v/>
      </c>
      <c r="N378">
        <f>SUMIFS($E$2:$E$548,$C$2:$C$548,C378,$I$2:$I$548,I378)</f>
        <v/>
      </c>
      <c r="O378">
        <f>IF(J378="Merchant not found","Merchant not found",IF(AND(N378&gt;5000,L378&lt;&gt;"East"),"High-Value Merchant Day","Normal Merchant Day"))</f>
        <v/>
      </c>
    </row>
    <row r="379">
      <c r="A379" t="inlineStr">
        <is>
          <t>TXN100377</t>
        </is>
      </c>
      <c r="B379" t="n">
        <v>203</v>
      </c>
      <c r="C379" t="n">
        <v>23</v>
      </c>
      <c r="D379" s="3" t="n">
        <v>46044.725</v>
      </c>
      <c r="E379" t="n">
        <v>49</v>
      </c>
      <c r="F379" t="inlineStr">
        <is>
          <t>UPI</t>
        </is>
      </c>
      <c r="G379" t="inlineStr">
        <is>
          <t>captured</t>
        </is>
      </c>
      <c r="H379" t="n">
        <v>98</v>
      </c>
      <c r="I379" s="4">
        <f>INT(D379)</f>
        <v/>
      </c>
      <c r="J379">
        <f>IFERROR(VLOOKUP(C379,Merchants!$A$2:$D$41,2,FALSE),"Merchant not found")</f>
        <v/>
      </c>
      <c r="K379">
        <f>IFERROR(VLOOKUP(C379,Merchants!$A$2:$D$41,3,FALSE),"Merchant not found")</f>
        <v/>
      </c>
      <c r="L379">
        <f>IFERROR(VLOOKUP(C379,Merchants!$A$2:$D$41,4,FALSE),"Merchant not found")</f>
        <v/>
      </c>
      <c r="M379" s="5">
        <f>HLOOKUP(F379,Fee_Reference!$B$1:$E$2,2,FALSE)</f>
        <v/>
      </c>
      <c r="N379">
        <f>SUMIFS($E$2:$E$548,$C$2:$C$548,C379,$I$2:$I$548,I379)</f>
        <v/>
      </c>
      <c r="O379">
        <f>IF(J379="Merchant not found","Merchant not found",IF(AND(N379&gt;5000,L379&lt;&gt;"East"),"High-Value Merchant Day","Normal Merchant Day"))</f>
        <v/>
      </c>
    </row>
    <row r="380">
      <c r="A380" t="inlineStr">
        <is>
          <t>TXN100378</t>
        </is>
      </c>
      <c r="B380" t="n">
        <v>22</v>
      </c>
      <c r="C380" t="n">
        <v>19</v>
      </c>
      <c r="D380" s="3" t="n">
        <v>46048.17916666667</v>
      </c>
      <c r="E380" t="n">
        <v>49</v>
      </c>
      <c r="F380" t="inlineStr">
        <is>
          <t>Card</t>
        </is>
      </c>
      <c r="G380" t="inlineStr">
        <is>
          <t>captured</t>
        </is>
      </c>
      <c r="H380" t="n">
        <v>91</v>
      </c>
      <c r="I380" s="4">
        <f>INT(D380)</f>
        <v/>
      </c>
      <c r="J380">
        <f>IFERROR(VLOOKUP(C380,Merchants!$A$2:$D$41,2,FALSE),"Merchant not found")</f>
        <v/>
      </c>
      <c r="K380">
        <f>IFERROR(VLOOKUP(C380,Merchants!$A$2:$D$41,3,FALSE),"Merchant not found")</f>
        <v/>
      </c>
      <c r="L380">
        <f>IFERROR(VLOOKUP(C380,Merchants!$A$2:$D$41,4,FALSE),"Merchant not found")</f>
        <v/>
      </c>
      <c r="M380" s="5">
        <f>HLOOKUP(F380,Fee_Reference!$B$1:$E$2,2,FALSE)</f>
        <v/>
      </c>
      <c r="N380">
        <f>SUMIFS($E$2:$E$548,$C$2:$C$548,C380,$I$2:$I$548,I380)</f>
        <v/>
      </c>
      <c r="O380">
        <f>IF(J380="Merchant not found","Merchant not found",IF(AND(N380&gt;5000,L380&lt;&gt;"East"),"High-Value Merchant Day","Normal Merchant Day"))</f>
        <v/>
      </c>
    </row>
    <row r="381">
      <c r="A381" t="inlineStr">
        <is>
          <t>TXN100379</t>
        </is>
      </c>
      <c r="B381" t="n">
        <v>227</v>
      </c>
      <c r="C381" t="n">
        <v>17</v>
      </c>
      <c r="D381" s="3" t="n">
        <v>46025.49930555555</v>
      </c>
      <c r="E381" t="n">
        <v>299</v>
      </c>
      <c r="F381" t="inlineStr">
        <is>
          <t>Wallet</t>
        </is>
      </c>
      <c r="G381" t="inlineStr">
        <is>
          <t>captured</t>
        </is>
      </c>
      <c r="H381" t="n">
        <v>95</v>
      </c>
      <c r="I381" s="4">
        <f>INT(D381)</f>
        <v/>
      </c>
      <c r="J381">
        <f>IFERROR(VLOOKUP(C381,Merchants!$A$2:$D$41,2,FALSE),"Merchant not found")</f>
        <v/>
      </c>
      <c r="K381">
        <f>IFERROR(VLOOKUP(C381,Merchants!$A$2:$D$41,3,FALSE),"Merchant not found")</f>
        <v/>
      </c>
      <c r="L381">
        <f>IFERROR(VLOOKUP(C381,Merchants!$A$2:$D$41,4,FALSE),"Merchant not found")</f>
        <v/>
      </c>
      <c r="M381" s="5">
        <f>HLOOKUP(F381,Fee_Reference!$B$1:$E$2,2,FALSE)</f>
        <v/>
      </c>
      <c r="N381">
        <f>SUMIFS($E$2:$E$548,$C$2:$C$548,C381,$I$2:$I$548,I381)</f>
        <v/>
      </c>
      <c r="O381">
        <f>IF(J381="Merchant not found","Merchant not found",IF(AND(N381&gt;5000,L381&lt;&gt;"East"),"High-Value Merchant Day","Normal Merchant Day"))</f>
        <v/>
      </c>
    </row>
    <row r="382">
      <c r="A382" t="inlineStr">
        <is>
          <t>TXN100380</t>
        </is>
      </c>
      <c r="B382" t="n">
        <v>276</v>
      </c>
      <c r="C382" t="n">
        <v>18</v>
      </c>
      <c r="D382" s="3" t="n">
        <v>46038.25833333333</v>
      </c>
      <c r="E382" t="n">
        <v>149</v>
      </c>
      <c r="F382" t="inlineStr">
        <is>
          <t>Wallet</t>
        </is>
      </c>
      <c r="G382" t="inlineStr">
        <is>
          <t>captured</t>
        </is>
      </c>
      <c r="H382" t="n">
        <v>71</v>
      </c>
      <c r="I382" s="4">
        <f>INT(D382)</f>
        <v/>
      </c>
      <c r="J382">
        <f>IFERROR(VLOOKUP(C382,Merchants!$A$2:$D$41,2,FALSE),"Merchant not found")</f>
        <v/>
      </c>
      <c r="K382">
        <f>IFERROR(VLOOKUP(C382,Merchants!$A$2:$D$41,3,FALSE),"Merchant not found")</f>
        <v/>
      </c>
      <c r="L382">
        <f>IFERROR(VLOOKUP(C382,Merchants!$A$2:$D$41,4,FALSE),"Merchant not found")</f>
        <v/>
      </c>
      <c r="M382" s="5">
        <f>HLOOKUP(F382,Fee_Reference!$B$1:$E$2,2,FALSE)</f>
        <v/>
      </c>
      <c r="N382">
        <f>SUMIFS($E$2:$E$548,$C$2:$C$548,C382,$I$2:$I$548,I382)</f>
        <v/>
      </c>
      <c r="O382">
        <f>IF(J382="Merchant not found","Merchant not found",IF(AND(N382&gt;5000,L382&lt;&gt;"East"),"High-Value Merchant Day","Normal Merchant Day"))</f>
        <v/>
      </c>
    </row>
    <row r="383">
      <c r="A383" t="inlineStr">
        <is>
          <t>TXN100381</t>
        </is>
      </c>
      <c r="B383" t="n">
        <v>56</v>
      </c>
      <c r="C383" t="n">
        <v>40</v>
      </c>
      <c r="D383" s="3" t="n">
        <v>46045.33888888889</v>
      </c>
      <c r="E383" t="n">
        <v>99</v>
      </c>
      <c r="F383" t="inlineStr">
        <is>
          <t>Card</t>
        </is>
      </c>
      <c r="G383" t="inlineStr">
        <is>
          <t>captured</t>
        </is>
      </c>
      <c r="H383" t="n">
        <v>94</v>
      </c>
      <c r="I383" s="4">
        <f>INT(D383)</f>
        <v/>
      </c>
      <c r="J383">
        <f>IFERROR(VLOOKUP(C383,Merchants!$A$2:$D$41,2,FALSE),"Merchant not found")</f>
        <v/>
      </c>
      <c r="K383">
        <f>IFERROR(VLOOKUP(C383,Merchants!$A$2:$D$41,3,FALSE),"Merchant not found")</f>
        <v/>
      </c>
      <c r="L383">
        <f>IFERROR(VLOOKUP(C383,Merchants!$A$2:$D$41,4,FALSE),"Merchant not found")</f>
        <v/>
      </c>
      <c r="M383" s="5">
        <f>HLOOKUP(F383,Fee_Reference!$B$1:$E$2,2,FALSE)</f>
        <v/>
      </c>
      <c r="N383">
        <f>SUMIFS($E$2:$E$548,$C$2:$C$548,C383,$I$2:$I$548,I383)</f>
        <v/>
      </c>
      <c r="O383">
        <f>IF(J383="Merchant not found","Merchant not found",IF(AND(N383&gt;5000,L383&lt;&gt;"East"),"High-Value Merchant Day","Normal Merchant Day"))</f>
        <v/>
      </c>
    </row>
    <row r="384">
      <c r="A384" t="inlineStr">
        <is>
          <t>TXN100382</t>
        </is>
      </c>
      <c r="B384" t="n">
        <v>26</v>
      </c>
      <c r="C384" t="n">
        <v>34</v>
      </c>
      <c r="D384" s="3" t="n">
        <v>46041.30208333334</v>
      </c>
      <c r="E384" t="n">
        <v>499</v>
      </c>
      <c r="F384" t="inlineStr">
        <is>
          <t>Card</t>
        </is>
      </c>
      <c r="G384" t="inlineStr">
        <is>
          <t>captured</t>
        </is>
      </c>
      <c r="H384" t="n">
        <v>28</v>
      </c>
      <c r="I384" s="4">
        <f>INT(D384)</f>
        <v/>
      </c>
      <c r="J384">
        <f>IFERROR(VLOOKUP(C384,Merchants!$A$2:$D$41,2,FALSE),"Merchant not found")</f>
        <v/>
      </c>
      <c r="K384">
        <f>IFERROR(VLOOKUP(C384,Merchants!$A$2:$D$41,3,FALSE),"Merchant not found")</f>
        <v/>
      </c>
      <c r="L384">
        <f>IFERROR(VLOOKUP(C384,Merchants!$A$2:$D$41,4,FALSE),"Merchant not found")</f>
        <v/>
      </c>
      <c r="M384" s="5">
        <f>HLOOKUP(F384,Fee_Reference!$B$1:$E$2,2,FALSE)</f>
        <v/>
      </c>
      <c r="N384">
        <f>SUMIFS($E$2:$E$548,$C$2:$C$548,C384,$I$2:$I$548,I384)</f>
        <v/>
      </c>
      <c r="O384">
        <f>IF(J384="Merchant not found","Merchant not found",IF(AND(N384&gt;5000,L384&lt;&gt;"East"),"High-Value Merchant Day","Normal Merchant Day"))</f>
        <v/>
      </c>
    </row>
    <row r="385">
      <c r="A385" t="inlineStr">
        <is>
          <t>TXN100383</t>
        </is>
      </c>
      <c r="B385" t="n">
        <v>52</v>
      </c>
      <c r="C385" t="n">
        <v>27</v>
      </c>
      <c r="D385" s="3" t="n">
        <v>46043.29375</v>
      </c>
      <c r="E385" t="n">
        <v>499</v>
      </c>
      <c r="F385" t="inlineStr">
        <is>
          <t>Card</t>
        </is>
      </c>
      <c r="G385" t="inlineStr">
        <is>
          <t>captured</t>
        </is>
      </c>
      <c r="H385" t="n">
        <v>42</v>
      </c>
      <c r="I385" s="4">
        <f>INT(D385)</f>
        <v/>
      </c>
      <c r="J385">
        <f>IFERROR(VLOOKUP(C385,Merchants!$A$2:$D$41,2,FALSE),"Merchant not found")</f>
        <v/>
      </c>
      <c r="K385">
        <f>IFERROR(VLOOKUP(C385,Merchants!$A$2:$D$41,3,FALSE),"Merchant not found")</f>
        <v/>
      </c>
      <c r="L385">
        <f>IFERROR(VLOOKUP(C385,Merchants!$A$2:$D$41,4,FALSE),"Merchant not found")</f>
        <v/>
      </c>
      <c r="M385" s="5">
        <f>HLOOKUP(F385,Fee_Reference!$B$1:$E$2,2,FALSE)</f>
        <v/>
      </c>
      <c r="N385">
        <f>SUMIFS($E$2:$E$548,$C$2:$C$548,C385,$I$2:$I$548,I385)</f>
        <v/>
      </c>
      <c r="O385">
        <f>IF(J385="Merchant not found","Merchant not found",IF(AND(N385&gt;5000,L385&lt;&gt;"East"),"High-Value Merchant Day","Normal Merchant Day"))</f>
        <v/>
      </c>
    </row>
    <row r="386">
      <c r="A386" t="inlineStr">
        <is>
          <t>TXN100384</t>
        </is>
      </c>
      <c r="B386" t="n">
        <v>349</v>
      </c>
      <c r="C386" t="n">
        <v>9</v>
      </c>
      <c r="D386" s="3" t="n">
        <v>46045.62916666667</v>
      </c>
      <c r="E386" t="n">
        <v>499</v>
      </c>
      <c r="F386" t="inlineStr">
        <is>
          <t>Wallet</t>
        </is>
      </c>
      <c r="G386" t="inlineStr">
        <is>
          <t>captured</t>
        </is>
      </c>
      <c r="H386" t="n">
        <v>0</v>
      </c>
      <c r="I386" s="4">
        <f>INT(D386)</f>
        <v/>
      </c>
      <c r="J386">
        <f>IFERROR(VLOOKUP(C386,Merchants!$A$2:$D$41,2,FALSE),"Merchant not found")</f>
        <v/>
      </c>
      <c r="K386">
        <f>IFERROR(VLOOKUP(C386,Merchants!$A$2:$D$41,3,FALSE),"Merchant not found")</f>
        <v/>
      </c>
      <c r="L386">
        <f>IFERROR(VLOOKUP(C386,Merchants!$A$2:$D$41,4,FALSE),"Merchant not found")</f>
        <v/>
      </c>
      <c r="M386" s="5">
        <f>HLOOKUP(F386,Fee_Reference!$B$1:$E$2,2,FALSE)</f>
        <v/>
      </c>
      <c r="N386">
        <f>SUMIFS($E$2:$E$548,$C$2:$C$548,C386,$I$2:$I$548,I386)</f>
        <v/>
      </c>
      <c r="O386">
        <f>IF(J386="Merchant not found","Merchant not found",IF(AND(N386&gt;5000,L386&lt;&gt;"East"),"High-Value Merchant Day","Normal Merchant Day"))</f>
        <v/>
      </c>
    </row>
    <row r="387">
      <c r="A387" t="inlineStr">
        <is>
          <t>TXN100385</t>
        </is>
      </c>
      <c r="B387" t="n">
        <v>335</v>
      </c>
      <c r="C387" t="n">
        <v>31</v>
      </c>
      <c r="D387" s="3" t="n">
        <v>46040.22638888889</v>
      </c>
      <c r="E387" t="n">
        <v>49</v>
      </c>
      <c r="F387" t="inlineStr">
        <is>
          <t>Card</t>
        </is>
      </c>
      <c r="G387" t="inlineStr">
        <is>
          <t>captured</t>
        </is>
      </c>
      <c r="H387" t="n">
        <v>61</v>
      </c>
      <c r="I387" s="4">
        <f>INT(D387)</f>
        <v/>
      </c>
      <c r="J387">
        <f>IFERROR(VLOOKUP(C387,Merchants!$A$2:$D$41,2,FALSE),"Merchant not found")</f>
        <v/>
      </c>
      <c r="K387">
        <f>IFERROR(VLOOKUP(C387,Merchants!$A$2:$D$41,3,FALSE),"Merchant not found")</f>
        <v/>
      </c>
      <c r="L387">
        <f>IFERROR(VLOOKUP(C387,Merchants!$A$2:$D$41,4,FALSE),"Merchant not found")</f>
        <v/>
      </c>
      <c r="M387" s="5">
        <f>HLOOKUP(F387,Fee_Reference!$B$1:$E$2,2,FALSE)</f>
        <v/>
      </c>
      <c r="N387">
        <f>SUMIFS($E$2:$E$548,$C$2:$C$548,C387,$I$2:$I$548,I387)</f>
        <v/>
      </c>
      <c r="O387">
        <f>IF(J387="Merchant not found","Merchant not found",IF(AND(N387&gt;5000,L387&lt;&gt;"East"),"High-Value Merchant Day","Normal Merchant Day"))</f>
        <v/>
      </c>
    </row>
    <row r="388">
      <c r="A388" t="inlineStr">
        <is>
          <t>TXN100386</t>
        </is>
      </c>
      <c r="B388" t="n">
        <v>148</v>
      </c>
      <c r="C388" t="n">
        <v>21</v>
      </c>
      <c r="D388" s="3" t="n">
        <v>46043.28333333333</v>
      </c>
      <c r="E388" t="n">
        <v>49</v>
      </c>
      <c r="F388" t="inlineStr">
        <is>
          <t>Card</t>
        </is>
      </c>
      <c r="G388" t="inlineStr">
        <is>
          <t>captured</t>
        </is>
      </c>
      <c r="H388" t="n">
        <v>36</v>
      </c>
      <c r="I388" s="4">
        <f>INT(D388)</f>
        <v/>
      </c>
      <c r="J388">
        <f>IFERROR(VLOOKUP(C388,Merchants!$A$2:$D$41,2,FALSE),"Merchant not found")</f>
        <v/>
      </c>
      <c r="K388">
        <f>IFERROR(VLOOKUP(C388,Merchants!$A$2:$D$41,3,FALSE),"Merchant not found")</f>
        <v/>
      </c>
      <c r="L388">
        <f>IFERROR(VLOOKUP(C388,Merchants!$A$2:$D$41,4,FALSE),"Merchant not found")</f>
        <v/>
      </c>
      <c r="M388" s="5">
        <f>HLOOKUP(F388,Fee_Reference!$B$1:$E$2,2,FALSE)</f>
        <v/>
      </c>
      <c r="N388">
        <f>SUMIFS($E$2:$E$548,$C$2:$C$548,C388,$I$2:$I$548,I388)</f>
        <v/>
      </c>
      <c r="O388">
        <f>IF(J388="Merchant not found","Merchant not found",IF(AND(N388&gt;5000,L388&lt;&gt;"East"),"High-Value Merchant Day","Normal Merchant Day"))</f>
        <v/>
      </c>
    </row>
    <row r="389">
      <c r="A389" t="inlineStr">
        <is>
          <t>TXN100387</t>
        </is>
      </c>
      <c r="B389" t="n">
        <v>46</v>
      </c>
      <c r="C389" t="n">
        <v>37</v>
      </c>
      <c r="D389" s="3" t="n">
        <v>46043.08194444444</v>
      </c>
      <c r="E389" t="n">
        <v>99</v>
      </c>
      <c r="F389" t="inlineStr">
        <is>
          <t>Wallet</t>
        </is>
      </c>
      <c r="G389" t="inlineStr">
        <is>
          <t>captured</t>
        </is>
      </c>
      <c r="H389" t="n">
        <v>29</v>
      </c>
      <c r="I389" s="4">
        <f>INT(D389)</f>
        <v/>
      </c>
      <c r="J389">
        <f>IFERROR(VLOOKUP(C389,Merchants!$A$2:$D$41,2,FALSE),"Merchant not found")</f>
        <v/>
      </c>
      <c r="K389">
        <f>IFERROR(VLOOKUP(C389,Merchants!$A$2:$D$41,3,FALSE),"Merchant not found")</f>
        <v/>
      </c>
      <c r="L389">
        <f>IFERROR(VLOOKUP(C389,Merchants!$A$2:$D$41,4,FALSE),"Merchant not found")</f>
        <v/>
      </c>
      <c r="M389" s="5">
        <f>HLOOKUP(F389,Fee_Reference!$B$1:$E$2,2,FALSE)</f>
        <v/>
      </c>
      <c r="N389">
        <f>SUMIFS($E$2:$E$548,$C$2:$C$548,C389,$I$2:$I$548,I389)</f>
        <v/>
      </c>
      <c r="O389">
        <f>IF(J389="Merchant not found","Merchant not found",IF(AND(N389&gt;5000,L389&lt;&gt;"East"),"High-Value Merchant Day","Normal Merchant Day"))</f>
        <v/>
      </c>
    </row>
    <row r="390">
      <c r="A390" t="inlineStr">
        <is>
          <t>TXN100388</t>
        </is>
      </c>
      <c r="B390" t="n">
        <v>20</v>
      </c>
      <c r="C390" t="n">
        <v>12</v>
      </c>
      <c r="D390" s="3" t="n">
        <v>46040.99027777778</v>
      </c>
      <c r="E390" t="n">
        <v>799</v>
      </c>
      <c r="F390" t="inlineStr">
        <is>
          <t>Card</t>
        </is>
      </c>
      <c r="G390" t="inlineStr">
        <is>
          <t>captured</t>
        </is>
      </c>
      <c r="H390" t="n">
        <v>53</v>
      </c>
      <c r="I390" s="4">
        <f>INT(D390)</f>
        <v/>
      </c>
      <c r="J390">
        <f>IFERROR(VLOOKUP(C390,Merchants!$A$2:$D$41,2,FALSE),"Merchant not found")</f>
        <v/>
      </c>
      <c r="K390">
        <f>IFERROR(VLOOKUP(C390,Merchants!$A$2:$D$41,3,FALSE),"Merchant not found")</f>
        <v/>
      </c>
      <c r="L390">
        <f>IFERROR(VLOOKUP(C390,Merchants!$A$2:$D$41,4,FALSE),"Merchant not found")</f>
        <v/>
      </c>
      <c r="M390" s="5">
        <f>HLOOKUP(F390,Fee_Reference!$B$1:$E$2,2,FALSE)</f>
        <v/>
      </c>
      <c r="N390">
        <f>SUMIFS($E$2:$E$548,$C$2:$C$548,C390,$I$2:$I$548,I390)</f>
        <v/>
      </c>
      <c r="O390">
        <f>IF(J390="Merchant not found","Merchant not found",IF(AND(N390&gt;5000,L390&lt;&gt;"East"),"High-Value Merchant Day","Normal Merchant Day"))</f>
        <v/>
      </c>
    </row>
    <row r="391">
      <c r="A391" t="inlineStr">
        <is>
          <t>TXN100389</t>
        </is>
      </c>
      <c r="B391" t="n">
        <v>19</v>
      </c>
      <c r="C391" t="n">
        <v>26</v>
      </c>
      <c r="D391" s="3" t="n">
        <v>46051.24930555555</v>
      </c>
      <c r="E391" t="n">
        <v>49</v>
      </c>
      <c r="F391" t="inlineStr">
        <is>
          <t>UPI</t>
        </is>
      </c>
      <c r="G391" t="inlineStr">
        <is>
          <t>captured</t>
        </is>
      </c>
      <c r="H391" t="n">
        <v>100</v>
      </c>
      <c r="I391" s="4">
        <f>INT(D391)</f>
        <v/>
      </c>
      <c r="J391">
        <f>IFERROR(VLOOKUP(C391,Merchants!$A$2:$D$41,2,FALSE),"Merchant not found")</f>
        <v/>
      </c>
      <c r="K391">
        <f>IFERROR(VLOOKUP(C391,Merchants!$A$2:$D$41,3,FALSE),"Merchant not found")</f>
        <v/>
      </c>
      <c r="L391">
        <f>IFERROR(VLOOKUP(C391,Merchants!$A$2:$D$41,4,FALSE),"Merchant not found")</f>
        <v/>
      </c>
      <c r="M391" s="5">
        <f>HLOOKUP(F391,Fee_Reference!$B$1:$E$2,2,FALSE)</f>
        <v/>
      </c>
      <c r="N391">
        <f>SUMIFS($E$2:$E$548,$C$2:$C$548,C391,$I$2:$I$548,I391)</f>
        <v/>
      </c>
      <c r="O391">
        <f>IF(J391="Merchant not found","Merchant not found",IF(AND(N391&gt;5000,L391&lt;&gt;"East"),"High-Value Merchant Day","Normal Merchant Day"))</f>
        <v/>
      </c>
    </row>
    <row r="392">
      <c r="A392" t="inlineStr">
        <is>
          <t>TXN100390</t>
        </is>
      </c>
      <c r="B392" t="n">
        <v>149</v>
      </c>
      <c r="C392" t="n">
        <v>3</v>
      </c>
      <c r="D392" s="3" t="n">
        <v>46038.24930555555</v>
      </c>
      <c r="E392" t="n">
        <v>4999</v>
      </c>
      <c r="F392" t="inlineStr">
        <is>
          <t>Wallet</t>
        </is>
      </c>
      <c r="G392" t="inlineStr">
        <is>
          <t>captured</t>
        </is>
      </c>
      <c r="H392" t="n">
        <v>1</v>
      </c>
      <c r="I392" s="4">
        <f>INT(D392)</f>
        <v/>
      </c>
      <c r="J392">
        <f>IFERROR(VLOOKUP(C392,Merchants!$A$2:$D$41,2,FALSE),"Merchant not found")</f>
        <v/>
      </c>
      <c r="K392">
        <f>IFERROR(VLOOKUP(C392,Merchants!$A$2:$D$41,3,FALSE),"Merchant not found")</f>
        <v/>
      </c>
      <c r="L392">
        <f>IFERROR(VLOOKUP(C392,Merchants!$A$2:$D$41,4,FALSE),"Merchant not found")</f>
        <v/>
      </c>
      <c r="M392" s="5">
        <f>HLOOKUP(F392,Fee_Reference!$B$1:$E$2,2,FALSE)</f>
        <v/>
      </c>
      <c r="N392">
        <f>SUMIFS($E$2:$E$548,$C$2:$C$548,C392,$I$2:$I$548,I392)</f>
        <v/>
      </c>
      <c r="O392">
        <f>IF(J392="Merchant not found","Merchant not found",IF(AND(N392&gt;5000,L392&lt;&gt;"East"),"High-Value Merchant Day","Normal Merchant Day"))</f>
        <v/>
      </c>
    </row>
    <row r="393">
      <c r="A393" t="inlineStr">
        <is>
          <t>TXN100391</t>
        </is>
      </c>
      <c r="B393" t="n">
        <v>55</v>
      </c>
      <c r="C393" t="n">
        <v>22</v>
      </c>
      <c r="D393" s="3" t="n">
        <v>46032.77638888889</v>
      </c>
      <c r="E393" t="n">
        <v>499</v>
      </c>
      <c r="F393" t="inlineStr">
        <is>
          <t>UPI</t>
        </is>
      </c>
      <c r="G393" t="inlineStr">
        <is>
          <t>captured</t>
        </is>
      </c>
      <c r="H393" t="n">
        <v>36</v>
      </c>
      <c r="I393" s="4">
        <f>INT(D393)</f>
        <v/>
      </c>
      <c r="J393">
        <f>IFERROR(VLOOKUP(C393,Merchants!$A$2:$D$41,2,FALSE),"Merchant not found")</f>
        <v/>
      </c>
      <c r="K393">
        <f>IFERROR(VLOOKUP(C393,Merchants!$A$2:$D$41,3,FALSE),"Merchant not found")</f>
        <v/>
      </c>
      <c r="L393">
        <f>IFERROR(VLOOKUP(C393,Merchants!$A$2:$D$41,4,FALSE),"Merchant not found")</f>
        <v/>
      </c>
      <c r="M393" s="5">
        <f>HLOOKUP(F393,Fee_Reference!$B$1:$E$2,2,FALSE)</f>
        <v/>
      </c>
      <c r="N393">
        <f>SUMIFS($E$2:$E$548,$C$2:$C$548,C393,$I$2:$I$548,I393)</f>
        <v/>
      </c>
      <c r="O393">
        <f>IF(J393="Merchant not found","Merchant not found",IF(AND(N393&gt;5000,L393&lt;&gt;"East"),"High-Value Merchant Day","Normal Merchant Day"))</f>
        <v/>
      </c>
    </row>
    <row r="394">
      <c r="A394" t="inlineStr">
        <is>
          <t>TXN100392</t>
        </is>
      </c>
      <c r="B394" t="n">
        <v>269</v>
      </c>
      <c r="C394" t="n">
        <v>32</v>
      </c>
      <c r="D394" s="3" t="n">
        <v>46037.85694444444</v>
      </c>
      <c r="E394" t="n">
        <v>49</v>
      </c>
      <c r="F394" t="inlineStr">
        <is>
          <t>Card</t>
        </is>
      </c>
      <c r="G394" t="inlineStr">
        <is>
          <t>captured</t>
        </is>
      </c>
      <c r="H394" t="n">
        <v>17</v>
      </c>
      <c r="I394" s="4">
        <f>INT(D394)</f>
        <v/>
      </c>
      <c r="J394">
        <f>IFERROR(VLOOKUP(C394,Merchants!$A$2:$D$41,2,FALSE),"Merchant not found")</f>
        <v/>
      </c>
      <c r="K394">
        <f>IFERROR(VLOOKUP(C394,Merchants!$A$2:$D$41,3,FALSE),"Merchant not found")</f>
        <v/>
      </c>
      <c r="L394">
        <f>IFERROR(VLOOKUP(C394,Merchants!$A$2:$D$41,4,FALSE),"Merchant not found")</f>
        <v/>
      </c>
      <c r="M394" s="5">
        <f>HLOOKUP(F394,Fee_Reference!$B$1:$E$2,2,FALSE)</f>
        <v/>
      </c>
      <c r="N394">
        <f>SUMIFS($E$2:$E$548,$C$2:$C$548,C394,$I$2:$I$548,I394)</f>
        <v/>
      </c>
      <c r="O394">
        <f>IF(J394="Merchant not found","Merchant not found",IF(AND(N394&gt;5000,L394&lt;&gt;"East"),"High-Value Merchant Day","Normal Merchant Day"))</f>
        <v/>
      </c>
    </row>
    <row r="395">
      <c r="A395" t="inlineStr">
        <is>
          <t>TXN100393</t>
        </is>
      </c>
      <c r="B395" t="n">
        <v>140</v>
      </c>
      <c r="C395" t="n">
        <v>13</v>
      </c>
      <c r="D395" s="3" t="n">
        <v>46050.68680555555</v>
      </c>
      <c r="E395" t="n">
        <v>2999</v>
      </c>
      <c r="F395" t="inlineStr">
        <is>
          <t>UPI</t>
        </is>
      </c>
      <c r="G395" t="inlineStr">
        <is>
          <t>captured</t>
        </is>
      </c>
      <c r="H395" t="n">
        <v>14</v>
      </c>
      <c r="I395" s="4">
        <f>INT(D395)</f>
        <v/>
      </c>
      <c r="J395">
        <f>IFERROR(VLOOKUP(C395,Merchants!$A$2:$D$41,2,FALSE),"Merchant not found")</f>
        <v/>
      </c>
      <c r="K395">
        <f>IFERROR(VLOOKUP(C395,Merchants!$A$2:$D$41,3,FALSE),"Merchant not found")</f>
        <v/>
      </c>
      <c r="L395">
        <f>IFERROR(VLOOKUP(C395,Merchants!$A$2:$D$41,4,FALSE),"Merchant not found")</f>
        <v/>
      </c>
      <c r="M395" s="5">
        <f>HLOOKUP(F395,Fee_Reference!$B$1:$E$2,2,FALSE)</f>
        <v/>
      </c>
      <c r="N395">
        <f>SUMIFS($E$2:$E$548,$C$2:$C$548,C395,$I$2:$I$548,I395)</f>
        <v/>
      </c>
      <c r="O395">
        <f>IF(J395="Merchant not found","Merchant not found",IF(AND(N395&gt;5000,L395&lt;&gt;"East"),"High-Value Merchant Day","Normal Merchant Day"))</f>
        <v/>
      </c>
    </row>
    <row r="396">
      <c r="A396" t="inlineStr">
        <is>
          <t>TXN100394</t>
        </is>
      </c>
      <c r="B396" t="n">
        <v>235</v>
      </c>
      <c r="C396" t="n">
        <v>17</v>
      </c>
      <c r="D396" s="3" t="n">
        <v>46033.24027777778</v>
      </c>
      <c r="E396" t="n">
        <v>2999</v>
      </c>
      <c r="F396" t="inlineStr">
        <is>
          <t>UPI</t>
        </is>
      </c>
      <c r="G396" t="inlineStr">
        <is>
          <t>captured</t>
        </is>
      </c>
      <c r="H396" t="n">
        <v>91</v>
      </c>
      <c r="I396" s="4">
        <f>INT(D396)</f>
        <v/>
      </c>
      <c r="J396">
        <f>IFERROR(VLOOKUP(C396,Merchants!$A$2:$D$41,2,FALSE),"Merchant not found")</f>
        <v/>
      </c>
      <c r="K396">
        <f>IFERROR(VLOOKUP(C396,Merchants!$A$2:$D$41,3,FALSE),"Merchant not found")</f>
        <v/>
      </c>
      <c r="L396">
        <f>IFERROR(VLOOKUP(C396,Merchants!$A$2:$D$41,4,FALSE),"Merchant not found")</f>
        <v/>
      </c>
      <c r="M396" s="5">
        <f>HLOOKUP(F396,Fee_Reference!$B$1:$E$2,2,FALSE)</f>
        <v/>
      </c>
      <c r="N396">
        <f>SUMIFS($E$2:$E$548,$C$2:$C$548,C396,$I$2:$I$548,I396)</f>
        <v/>
      </c>
      <c r="O396">
        <f>IF(J396="Merchant not found","Merchant not found",IF(AND(N396&gt;5000,L396&lt;&gt;"East"),"High-Value Merchant Day","Normal Merchant Day"))</f>
        <v/>
      </c>
    </row>
    <row r="397">
      <c r="A397" t="inlineStr">
        <is>
          <t>TXN100395</t>
        </is>
      </c>
      <c r="B397" t="n">
        <v>173</v>
      </c>
      <c r="C397" t="n">
        <v>19</v>
      </c>
      <c r="D397" s="3" t="n">
        <v>46028.03263888889</v>
      </c>
      <c r="E397" t="n">
        <v>499</v>
      </c>
      <c r="F397" t="inlineStr">
        <is>
          <t>UPI</t>
        </is>
      </c>
      <c r="G397" t="inlineStr">
        <is>
          <t>failed</t>
        </is>
      </c>
      <c r="H397" t="n">
        <v>72</v>
      </c>
      <c r="I397" s="4">
        <f>INT(D397)</f>
        <v/>
      </c>
      <c r="J397">
        <f>IFERROR(VLOOKUP(C397,Merchants!$A$2:$D$41,2,FALSE),"Merchant not found")</f>
        <v/>
      </c>
      <c r="K397">
        <f>IFERROR(VLOOKUP(C397,Merchants!$A$2:$D$41,3,FALSE),"Merchant not found")</f>
        <v/>
      </c>
      <c r="L397">
        <f>IFERROR(VLOOKUP(C397,Merchants!$A$2:$D$41,4,FALSE),"Merchant not found")</f>
        <v/>
      </c>
      <c r="M397" s="5">
        <f>HLOOKUP(F397,Fee_Reference!$B$1:$E$2,2,FALSE)</f>
        <v/>
      </c>
      <c r="N397">
        <f>SUMIFS($E$2:$E$548,$C$2:$C$548,C397,$I$2:$I$548,I397)</f>
        <v/>
      </c>
      <c r="O397">
        <f>IF(J397="Merchant not found","Merchant not found",IF(AND(N397&gt;5000,L397&lt;&gt;"East"),"High-Value Merchant Day","Normal Merchant Day"))</f>
        <v/>
      </c>
    </row>
    <row r="398">
      <c r="A398" t="inlineStr">
        <is>
          <t>TXN100396</t>
        </is>
      </c>
      <c r="B398" t="n">
        <v>313</v>
      </c>
      <c r="C398" t="n">
        <v>26</v>
      </c>
      <c r="D398" s="3" t="n">
        <v>46044.25763888889</v>
      </c>
      <c r="E398" t="n">
        <v>499</v>
      </c>
      <c r="F398" t="inlineStr">
        <is>
          <t>UPI</t>
        </is>
      </c>
      <c r="G398" t="inlineStr">
        <is>
          <t>captured</t>
        </is>
      </c>
      <c r="H398" t="n">
        <v>54</v>
      </c>
      <c r="I398" s="4">
        <f>INT(D398)</f>
        <v/>
      </c>
      <c r="J398">
        <f>IFERROR(VLOOKUP(C398,Merchants!$A$2:$D$41,2,FALSE),"Merchant not found")</f>
        <v/>
      </c>
      <c r="K398">
        <f>IFERROR(VLOOKUP(C398,Merchants!$A$2:$D$41,3,FALSE),"Merchant not found")</f>
        <v/>
      </c>
      <c r="L398">
        <f>IFERROR(VLOOKUP(C398,Merchants!$A$2:$D$41,4,FALSE),"Merchant not found")</f>
        <v/>
      </c>
      <c r="M398" s="5">
        <f>HLOOKUP(F398,Fee_Reference!$B$1:$E$2,2,FALSE)</f>
        <v/>
      </c>
      <c r="N398">
        <f>SUMIFS($E$2:$E$548,$C$2:$C$548,C398,$I$2:$I$548,I398)</f>
        <v/>
      </c>
      <c r="O398">
        <f>IF(J398="Merchant not found","Merchant not found",IF(AND(N398&gt;5000,L398&lt;&gt;"East"),"High-Value Merchant Day","Normal Merchant Day"))</f>
        <v/>
      </c>
    </row>
    <row r="399">
      <c r="A399" t="inlineStr">
        <is>
          <t>TXN100397</t>
        </is>
      </c>
      <c r="B399" t="n">
        <v>206</v>
      </c>
      <c r="C399" t="n">
        <v>7</v>
      </c>
      <c r="D399" s="3" t="n">
        <v>46039.42013888889</v>
      </c>
      <c r="E399" t="n">
        <v>149</v>
      </c>
      <c r="F399" t="inlineStr">
        <is>
          <t>Wallet</t>
        </is>
      </c>
      <c r="G399" t="inlineStr">
        <is>
          <t>captured</t>
        </is>
      </c>
      <c r="H399" t="n">
        <v>23</v>
      </c>
      <c r="I399" s="4">
        <f>INT(D399)</f>
        <v/>
      </c>
      <c r="J399">
        <f>IFERROR(VLOOKUP(C399,Merchants!$A$2:$D$41,2,FALSE),"Merchant not found")</f>
        <v/>
      </c>
      <c r="K399">
        <f>IFERROR(VLOOKUP(C399,Merchants!$A$2:$D$41,3,FALSE),"Merchant not found")</f>
        <v/>
      </c>
      <c r="L399">
        <f>IFERROR(VLOOKUP(C399,Merchants!$A$2:$D$41,4,FALSE),"Merchant not found")</f>
        <v/>
      </c>
      <c r="M399" s="5">
        <f>HLOOKUP(F399,Fee_Reference!$B$1:$E$2,2,FALSE)</f>
        <v/>
      </c>
      <c r="N399">
        <f>SUMIFS($E$2:$E$548,$C$2:$C$548,C399,$I$2:$I$548,I399)</f>
        <v/>
      </c>
      <c r="O399">
        <f>IF(J399="Merchant not found","Merchant not found",IF(AND(N399&gt;5000,L399&lt;&gt;"East"),"High-Value Merchant Day","Normal Merchant Day"))</f>
        <v/>
      </c>
    </row>
    <row r="400">
      <c r="A400" t="inlineStr">
        <is>
          <t>TXN100398</t>
        </is>
      </c>
      <c r="B400" t="n">
        <v>128</v>
      </c>
      <c r="C400" t="n">
        <v>1</v>
      </c>
      <c r="D400" s="3" t="n">
        <v>46027.63888888889</v>
      </c>
      <c r="E400" t="n">
        <v>1499</v>
      </c>
      <c r="F400" t="inlineStr">
        <is>
          <t>Netbanking</t>
        </is>
      </c>
      <c r="G400" t="inlineStr">
        <is>
          <t>captured</t>
        </is>
      </c>
      <c r="H400" t="n">
        <v>33</v>
      </c>
      <c r="I400" s="4">
        <f>INT(D400)</f>
        <v/>
      </c>
      <c r="J400">
        <f>IFERROR(VLOOKUP(C400,Merchants!$A$2:$D$41,2,FALSE),"Merchant not found")</f>
        <v/>
      </c>
      <c r="K400">
        <f>IFERROR(VLOOKUP(C400,Merchants!$A$2:$D$41,3,FALSE),"Merchant not found")</f>
        <v/>
      </c>
      <c r="L400">
        <f>IFERROR(VLOOKUP(C400,Merchants!$A$2:$D$41,4,FALSE),"Merchant not found")</f>
        <v/>
      </c>
      <c r="M400" s="5">
        <f>HLOOKUP(F400,Fee_Reference!$B$1:$E$2,2,FALSE)</f>
        <v/>
      </c>
      <c r="N400">
        <f>SUMIFS($E$2:$E$548,$C$2:$C$548,C400,$I$2:$I$548,I400)</f>
        <v/>
      </c>
      <c r="O400">
        <f>IF(J400="Merchant not found","Merchant not found",IF(AND(N400&gt;5000,L400&lt;&gt;"East"),"High-Value Merchant Day","Normal Merchant Day"))</f>
        <v/>
      </c>
    </row>
    <row r="401">
      <c r="A401" t="inlineStr">
        <is>
          <t>TXN100399</t>
        </is>
      </c>
      <c r="B401" t="n">
        <v>137</v>
      </c>
      <c r="C401" t="n">
        <v>22</v>
      </c>
      <c r="D401" s="3" t="n">
        <v>46035.31111111111</v>
      </c>
      <c r="E401" t="n">
        <v>799</v>
      </c>
      <c r="F401" t="inlineStr">
        <is>
          <t>UPI</t>
        </is>
      </c>
      <c r="G401" t="inlineStr">
        <is>
          <t>failed</t>
        </is>
      </c>
      <c r="H401" t="n">
        <v>38</v>
      </c>
      <c r="I401" s="4">
        <f>INT(D401)</f>
        <v/>
      </c>
      <c r="J401">
        <f>IFERROR(VLOOKUP(C401,Merchants!$A$2:$D$41,2,FALSE),"Merchant not found")</f>
        <v/>
      </c>
      <c r="K401">
        <f>IFERROR(VLOOKUP(C401,Merchants!$A$2:$D$41,3,FALSE),"Merchant not found")</f>
        <v/>
      </c>
      <c r="L401">
        <f>IFERROR(VLOOKUP(C401,Merchants!$A$2:$D$41,4,FALSE),"Merchant not found")</f>
        <v/>
      </c>
      <c r="M401" s="5">
        <f>HLOOKUP(F401,Fee_Reference!$B$1:$E$2,2,FALSE)</f>
        <v/>
      </c>
      <c r="N401">
        <f>SUMIFS($E$2:$E$548,$C$2:$C$548,C401,$I$2:$I$548,I401)</f>
        <v/>
      </c>
      <c r="O401">
        <f>IF(J401="Merchant not found","Merchant not found",IF(AND(N401&gt;5000,L401&lt;&gt;"East"),"High-Value Merchant Day","Normal Merchant Day"))</f>
        <v/>
      </c>
    </row>
    <row r="402">
      <c r="A402" t="inlineStr">
        <is>
          <t>TXN100400</t>
        </is>
      </c>
      <c r="B402" t="n">
        <v>6</v>
      </c>
      <c r="C402" t="n">
        <v>17</v>
      </c>
      <c r="D402" s="3" t="n">
        <v>46041.98333333333</v>
      </c>
      <c r="E402" t="n">
        <v>49</v>
      </c>
      <c r="F402" t="inlineStr">
        <is>
          <t>UPI</t>
        </is>
      </c>
      <c r="G402" t="inlineStr">
        <is>
          <t>captured</t>
        </is>
      </c>
      <c r="H402" t="n">
        <v>83</v>
      </c>
      <c r="I402" s="4">
        <f>INT(D402)</f>
        <v/>
      </c>
      <c r="J402">
        <f>IFERROR(VLOOKUP(C402,Merchants!$A$2:$D$41,2,FALSE),"Merchant not found")</f>
        <v/>
      </c>
      <c r="K402">
        <f>IFERROR(VLOOKUP(C402,Merchants!$A$2:$D$41,3,FALSE),"Merchant not found")</f>
        <v/>
      </c>
      <c r="L402">
        <f>IFERROR(VLOOKUP(C402,Merchants!$A$2:$D$41,4,FALSE),"Merchant not found")</f>
        <v/>
      </c>
      <c r="M402" s="5">
        <f>HLOOKUP(F402,Fee_Reference!$B$1:$E$2,2,FALSE)</f>
        <v/>
      </c>
      <c r="N402">
        <f>SUMIFS($E$2:$E$548,$C$2:$C$548,C402,$I$2:$I$548,I402)</f>
        <v/>
      </c>
      <c r="O402">
        <f>IF(J402="Merchant not found","Merchant not found",IF(AND(N402&gt;5000,L402&lt;&gt;"East"),"High-Value Merchant Day","Normal Merchant Day"))</f>
        <v/>
      </c>
    </row>
    <row r="403">
      <c r="A403" t="inlineStr">
        <is>
          <t>TXN100401</t>
        </is>
      </c>
      <c r="B403" t="n">
        <v>32</v>
      </c>
      <c r="C403" t="n">
        <v>8</v>
      </c>
      <c r="D403" s="3" t="n">
        <v>46034.92708333334</v>
      </c>
      <c r="E403" t="n">
        <v>299</v>
      </c>
      <c r="F403" t="inlineStr">
        <is>
          <t>Card</t>
        </is>
      </c>
      <c r="G403" t="inlineStr">
        <is>
          <t>captured</t>
        </is>
      </c>
      <c r="H403" t="n">
        <v>59</v>
      </c>
      <c r="I403" s="4">
        <f>INT(D403)</f>
        <v/>
      </c>
      <c r="J403">
        <f>IFERROR(VLOOKUP(C403,Merchants!$A$2:$D$41,2,FALSE),"Merchant not found")</f>
        <v/>
      </c>
      <c r="K403">
        <f>IFERROR(VLOOKUP(C403,Merchants!$A$2:$D$41,3,FALSE),"Merchant not found")</f>
        <v/>
      </c>
      <c r="L403">
        <f>IFERROR(VLOOKUP(C403,Merchants!$A$2:$D$41,4,FALSE),"Merchant not found")</f>
        <v/>
      </c>
      <c r="M403" s="5">
        <f>HLOOKUP(F403,Fee_Reference!$B$1:$E$2,2,FALSE)</f>
        <v/>
      </c>
      <c r="N403">
        <f>SUMIFS($E$2:$E$548,$C$2:$C$548,C403,$I$2:$I$548,I403)</f>
        <v/>
      </c>
      <c r="O403">
        <f>IF(J403="Merchant not found","Merchant not found",IF(AND(N403&gt;5000,L403&lt;&gt;"East"),"High-Value Merchant Day","Normal Merchant Day"))</f>
        <v/>
      </c>
    </row>
    <row r="404">
      <c r="A404" t="inlineStr">
        <is>
          <t>TXN100402</t>
        </is>
      </c>
      <c r="B404" t="n">
        <v>258</v>
      </c>
      <c r="C404" t="n">
        <v>20</v>
      </c>
      <c r="D404" s="3" t="n">
        <v>46032.22569444445</v>
      </c>
      <c r="E404" t="n">
        <v>149</v>
      </c>
      <c r="F404" t="inlineStr">
        <is>
          <t>UPI</t>
        </is>
      </c>
      <c r="G404" t="inlineStr">
        <is>
          <t>captured</t>
        </is>
      </c>
      <c r="H404" t="n">
        <v>88</v>
      </c>
      <c r="I404" s="4">
        <f>INT(D404)</f>
        <v/>
      </c>
      <c r="J404">
        <f>IFERROR(VLOOKUP(C404,Merchants!$A$2:$D$41,2,FALSE),"Merchant not found")</f>
        <v/>
      </c>
      <c r="K404">
        <f>IFERROR(VLOOKUP(C404,Merchants!$A$2:$D$41,3,FALSE),"Merchant not found")</f>
        <v/>
      </c>
      <c r="L404">
        <f>IFERROR(VLOOKUP(C404,Merchants!$A$2:$D$41,4,FALSE),"Merchant not found")</f>
        <v/>
      </c>
      <c r="M404" s="5">
        <f>HLOOKUP(F404,Fee_Reference!$B$1:$E$2,2,FALSE)</f>
        <v/>
      </c>
      <c r="N404">
        <f>SUMIFS($E$2:$E$548,$C$2:$C$548,C404,$I$2:$I$548,I404)</f>
        <v/>
      </c>
      <c r="O404">
        <f>IF(J404="Merchant not found","Merchant not found",IF(AND(N404&gt;5000,L404&lt;&gt;"East"),"High-Value Merchant Day","Normal Merchant Day"))</f>
        <v/>
      </c>
    </row>
    <row r="405">
      <c r="A405" t="inlineStr">
        <is>
          <t>TXN100403</t>
        </is>
      </c>
      <c r="B405" t="n">
        <v>152</v>
      </c>
      <c r="C405" t="n">
        <v>24</v>
      </c>
      <c r="D405" s="3" t="n">
        <v>46026.87361111111</v>
      </c>
      <c r="E405" t="n">
        <v>149</v>
      </c>
      <c r="F405" t="inlineStr">
        <is>
          <t>UPI</t>
        </is>
      </c>
      <c r="G405" t="inlineStr">
        <is>
          <t>chargeback</t>
        </is>
      </c>
      <c r="H405" t="n">
        <v>78</v>
      </c>
      <c r="I405" s="4">
        <f>INT(D405)</f>
        <v/>
      </c>
      <c r="J405">
        <f>IFERROR(VLOOKUP(C405,Merchants!$A$2:$D$41,2,FALSE),"Merchant not found")</f>
        <v/>
      </c>
      <c r="K405">
        <f>IFERROR(VLOOKUP(C405,Merchants!$A$2:$D$41,3,FALSE),"Merchant not found")</f>
        <v/>
      </c>
      <c r="L405">
        <f>IFERROR(VLOOKUP(C405,Merchants!$A$2:$D$41,4,FALSE),"Merchant not found")</f>
        <v/>
      </c>
      <c r="M405" s="5">
        <f>HLOOKUP(F405,Fee_Reference!$B$1:$E$2,2,FALSE)</f>
        <v/>
      </c>
      <c r="N405">
        <f>SUMIFS($E$2:$E$548,$C$2:$C$548,C405,$I$2:$I$548,I405)</f>
        <v/>
      </c>
      <c r="O405">
        <f>IF(J405="Merchant not found","Merchant not found",IF(AND(N405&gt;5000,L405&lt;&gt;"East"),"High-Value Merchant Day","Normal Merchant Day"))</f>
        <v/>
      </c>
    </row>
    <row r="406">
      <c r="A406" t="inlineStr">
        <is>
          <t>TXN100404</t>
        </is>
      </c>
      <c r="B406" t="n">
        <v>245</v>
      </c>
      <c r="C406" t="n">
        <v>10</v>
      </c>
      <c r="D406" s="3" t="n">
        <v>46030.29722222222</v>
      </c>
      <c r="E406" t="n">
        <v>799</v>
      </c>
      <c r="F406" t="inlineStr">
        <is>
          <t>Wallet</t>
        </is>
      </c>
      <c r="G406" t="inlineStr">
        <is>
          <t>captured</t>
        </is>
      </c>
      <c r="H406" t="n">
        <v>58</v>
      </c>
      <c r="I406" s="4">
        <f>INT(D406)</f>
        <v/>
      </c>
      <c r="J406">
        <f>IFERROR(VLOOKUP(C406,Merchants!$A$2:$D$41,2,FALSE),"Merchant not found")</f>
        <v/>
      </c>
      <c r="K406">
        <f>IFERROR(VLOOKUP(C406,Merchants!$A$2:$D$41,3,FALSE),"Merchant not found")</f>
        <v/>
      </c>
      <c r="L406">
        <f>IFERROR(VLOOKUP(C406,Merchants!$A$2:$D$41,4,FALSE),"Merchant not found")</f>
        <v/>
      </c>
      <c r="M406" s="5">
        <f>HLOOKUP(F406,Fee_Reference!$B$1:$E$2,2,FALSE)</f>
        <v/>
      </c>
      <c r="N406">
        <f>SUMIFS($E$2:$E$548,$C$2:$C$548,C406,$I$2:$I$548,I406)</f>
        <v/>
      </c>
      <c r="O406">
        <f>IF(J406="Merchant not found","Merchant not found",IF(AND(N406&gt;5000,L406&lt;&gt;"East"),"High-Value Merchant Day","Normal Merchant Day"))</f>
        <v/>
      </c>
    </row>
    <row r="407">
      <c r="A407" t="inlineStr">
        <is>
          <t>TXN100405</t>
        </is>
      </c>
      <c r="B407" t="n">
        <v>213</v>
      </c>
      <c r="C407" t="n">
        <v>36</v>
      </c>
      <c r="D407" s="3" t="n">
        <v>46046.80763888889</v>
      </c>
      <c r="E407" t="n">
        <v>49</v>
      </c>
      <c r="F407" t="inlineStr">
        <is>
          <t>Wallet</t>
        </is>
      </c>
      <c r="G407" t="inlineStr">
        <is>
          <t>captured</t>
        </is>
      </c>
      <c r="H407" t="n">
        <v>60</v>
      </c>
      <c r="I407" s="4">
        <f>INT(D407)</f>
        <v/>
      </c>
      <c r="J407">
        <f>IFERROR(VLOOKUP(C407,Merchants!$A$2:$D$41,2,FALSE),"Merchant not found")</f>
        <v/>
      </c>
      <c r="K407">
        <f>IFERROR(VLOOKUP(C407,Merchants!$A$2:$D$41,3,FALSE),"Merchant not found")</f>
        <v/>
      </c>
      <c r="L407">
        <f>IFERROR(VLOOKUP(C407,Merchants!$A$2:$D$41,4,FALSE),"Merchant not found")</f>
        <v/>
      </c>
      <c r="M407" s="5">
        <f>HLOOKUP(F407,Fee_Reference!$B$1:$E$2,2,FALSE)</f>
        <v/>
      </c>
      <c r="N407">
        <f>SUMIFS($E$2:$E$548,$C$2:$C$548,C407,$I$2:$I$548,I407)</f>
        <v/>
      </c>
      <c r="O407">
        <f>IF(J407="Merchant not found","Merchant not found",IF(AND(N407&gt;5000,L407&lt;&gt;"East"),"High-Value Merchant Day","Normal Merchant Day"))</f>
        <v/>
      </c>
    </row>
    <row r="408">
      <c r="A408" t="inlineStr">
        <is>
          <t>TXN100406</t>
        </is>
      </c>
      <c r="B408" t="n">
        <v>341</v>
      </c>
      <c r="C408" t="n">
        <v>14</v>
      </c>
      <c r="D408" s="3" t="n">
        <v>46047.74375</v>
      </c>
      <c r="E408" t="n">
        <v>99</v>
      </c>
      <c r="F408" t="inlineStr">
        <is>
          <t>Netbanking</t>
        </is>
      </c>
      <c r="G408" t="inlineStr">
        <is>
          <t>captured</t>
        </is>
      </c>
      <c r="H408" t="n">
        <v>97</v>
      </c>
      <c r="I408" s="4">
        <f>INT(D408)</f>
        <v/>
      </c>
      <c r="J408">
        <f>IFERROR(VLOOKUP(C408,Merchants!$A$2:$D$41,2,FALSE),"Merchant not found")</f>
        <v/>
      </c>
      <c r="K408">
        <f>IFERROR(VLOOKUP(C408,Merchants!$A$2:$D$41,3,FALSE),"Merchant not found")</f>
        <v/>
      </c>
      <c r="L408">
        <f>IFERROR(VLOOKUP(C408,Merchants!$A$2:$D$41,4,FALSE),"Merchant not found")</f>
        <v/>
      </c>
      <c r="M408" s="5">
        <f>HLOOKUP(F408,Fee_Reference!$B$1:$E$2,2,FALSE)</f>
        <v/>
      </c>
      <c r="N408">
        <f>SUMIFS($E$2:$E$548,$C$2:$C$548,C408,$I$2:$I$548,I408)</f>
        <v/>
      </c>
      <c r="O408">
        <f>IF(J408="Merchant not found","Merchant not found",IF(AND(N408&gt;5000,L408&lt;&gt;"East"),"High-Value Merchant Day","Normal Merchant Day"))</f>
        <v/>
      </c>
    </row>
    <row r="409">
      <c r="A409" t="inlineStr">
        <is>
          <t>TXN100407</t>
        </is>
      </c>
      <c r="B409" t="n">
        <v>306</v>
      </c>
      <c r="C409" t="n">
        <v>6</v>
      </c>
      <c r="D409" s="3" t="n">
        <v>46030.90833333333</v>
      </c>
      <c r="E409" t="n">
        <v>149</v>
      </c>
      <c r="F409" t="inlineStr">
        <is>
          <t>Netbanking</t>
        </is>
      </c>
      <c r="G409" t="inlineStr">
        <is>
          <t>captured</t>
        </is>
      </c>
      <c r="H409" t="n">
        <v>67</v>
      </c>
      <c r="I409" s="4">
        <f>INT(D409)</f>
        <v/>
      </c>
      <c r="J409">
        <f>IFERROR(VLOOKUP(C409,Merchants!$A$2:$D$41,2,FALSE),"Merchant not found")</f>
        <v/>
      </c>
      <c r="K409">
        <f>IFERROR(VLOOKUP(C409,Merchants!$A$2:$D$41,3,FALSE),"Merchant not found")</f>
        <v/>
      </c>
      <c r="L409">
        <f>IFERROR(VLOOKUP(C409,Merchants!$A$2:$D$41,4,FALSE),"Merchant not found")</f>
        <v/>
      </c>
      <c r="M409" s="5">
        <f>HLOOKUP(F409,Fee_Reference!$B$1:$E$2,2,FALSE)</f>
        <v/>
      </c>
      <c r="N409">
        <f>SUMIFS($E$2:$E$548,$C$2:$C$548,C409,$I$2:$I$548,I409)</f>
        <v/>
      </c>
      <c r="O409">
        <f>IF(J409="Merchant not found","Merchant not found",IF(AND(N409&gt;5000,L409&lt;&gt;"East"),"High-Value Merchant Day","Normal Merchant Day"))</f>
        <v/>
      </c>
    </row>
    <row r="410">
      <c r="A410" t="inlineStr">
        <is>
          <t>TXN100408</t>
        </is>
      </c>
      <c r="B410" t="n">
        <v>186</v>
      </c>
      <c r="C410" t="n">
        <v>5</v>
      </c>
      <c r="D410" s="3" t="n">
        <v>46037.69791666666</v>
      </c>
      <c r="E410" t="n">
        <v>499</v>
      </c>
      <c r="F410" t="inlineStr">
        <is>
          <t>UPI</t>
        </is>
      </c>
      <c r="G410" t="inlineStr">
        <is>
          <t>captured</t>
        </is>
      </c>
      <c r="H410" t="n">
        <v>72</v>
      </c>
      <c r="I410" s="4">
        <f>INT(D410)</f>
        <v/>
      </c>
      <c r="J410">
        <f>IFERROR(VLOOKUP(C410,Merchants!$A$2:$D$41,2,FALSE),"Merchant not found")</f>
        <v/>
      </c>
      <c r="K410">
        <f>IFERROR(VLOOKUP(C410,Merchants!$A$2:$D$41,3,FALSE),"Merchant not found")</f>
        <v/>
      </c>
      <c r="L410">
        <f>IFERROR(VLOOKUP(C410,Merchants!$A$2:$D$41,4,FALSE),"Merchant not found")</f>
        <v/>
      </c>
      <c r="M410" s="5">
        <f>HLOOKUP(F410,Fee_Reference!$B$1:$E$2,2,FALSE)</f>
        <v/>
      </c>
      <c r="N410">
        <f>SUMIFS($E$2:$E$548,$C$2:$C$548,C410,$I$2:$I$548,I410)</f>
        <v/>
      </c>
      <c r="O410">
        <f>IF(J410="Merchant not found","Merchant not found",IF(AND(N410&gt;5000,L410&lt;&gt;"East"),"High-Value Merchant Day","Normal Merchant Day"))</f>
        <v/>
      </c>
    </row>
    <row r="411">
      <c r="A411" t="inlineStr">
        <is>
          <t>TXN100409</t>
        </is>
      </c>
      <c r="B411" t="n">
        <v>281</v>
      </c>
      <c r="C411" t="n">
        <v>33</v>
      </c>
      <c r="D411" s="3" t="n">
        <v>46026.07847222222</v>
      </c>
      <c r="E411" t="n">
        <v>4999</v>
      </c>
      <c r="F411" t="inlineStr">
        <is>
          <t>UPI</t>
        </is>
      </c>
      <c r="G411" t="inlineStr">
        <is>
          <t>captured</t>
        </is>
      </c>
      <c r="H411" t="n">
        <v>25</v>
      </c>
      <c r="I411" s="4">
        <f>INT(D411)</f>
        <v/>
      </c>
      <c r="J411">
        <f>IFERROR(VLOOKUP(C411,Merchants!$A$2:$D$41,2,FALSE),"Merchant not found")</f>
        <v/>
      </c>
      <c r="K411">
        <f>IFERROR(VLOOKUP(C411,Merchants!$A$2:$D$41,3,FALSE),"Merchant not found")</f>
        <v/>
      </c>
      <c r="L411">
        <f>IFERROR(VLOOKUP(C411,Merchants!$A$2:$D$41,4,FALSE),"Merchant not found")</f>
        <v/>
      </c>
      <c r="M411" s="5">
        <f>HLOOKUP(F411,Fee_Reference!$B$1:$E$2,2,FALSE)</f>
        <v/>
      </c>
      <c r="N411">
        <f>SUMIFS($E$2:$E$548,$C$2:$C$548,C411,$I$2:$I$548,I411)</f>
        <v/>
      </c>
      <c r="O411">
        <f>IF(J411="Merchant not found","Merchant not found",IF(AND(N411&gt;5000,L411&lt;&gt;"East"),"High-Value Merchant Day","Normal Merchant Day"))</f>
        <v/>
      </c>
    </row>
    <row r="412">
      <c r="A412" t="inlineStr">
        <is>
          <t>TXN100410</t>
        </is>
      </c>
      <c r="B412" t="n">
        <v>85</v>
      </c>
      <c r="C412" t="n">
        <v>21</v>
      </c>
      <c r="D412" s="3" t="n">
        <v>46041.71458333333</v>
      </c>
      <c r="E412" t="n">
        <v>99</v>
      </c>
      <c r="F412" t="inlineStr">
        <is>
          <t>UPI</t>
        </is>
      </c>
      <c r="G412" t="inlineStr">
        <is>
          <t>captured</t>
        </is>
      </c>
      <c r="H412" t="n">
        <v>66</v>
      </c>
      <c r="I412" s="4">
        <f>INT(D412)</f>
        <v/>
      </c>
      <c r="J412">
        <f>IFERROR(VLOOKUP(C412,Merchants!$A$2:$D$41,2,FALSE),"Merchant not found")</f>
        <v/>
      </c>
      <c r="K412">
        <f>IFERROR(VLOOKUP(C412,Merchants!$A$2:$D$41,3,FALSE),"Merchant not found")</f>
        <v/>
      </c>
      <c r="L412">
        <f>IFERROR(VLOOKUP(C412,Merchants!$A$2:$D$41,4,FALSE),"Merchant not found")</f>
        <v/>
      </c>
      <c r="M412" s="5">
        <f>HLOOKUP(F412,Fee_Reference!$B$1:$E$2,2,FALSE)</f>
        <v/>
      </c>
      <c r="N412">
        <f>SUMIFS($E$2:$E$548,$C$2:$C$548,C412,$I$2:$I$548,I412)</f>
        <v/>
      </c>
      <c r="O412">
        <f>IF(J412="Merchant not found","Merchant not found",IF(AND(N412&gt;5000,L412&lt;&gt;"East"),"High-Value Merchant Day","Normal Merchant Day"))</f>
        <v/>
      </c>
    </row>
    <row r="413">
      <c r="A413" t="inlineStr">
        <is>
          <t>TXN100411</t>
        </is>
      </c>
      <c r="B413" t="n">
        <v>106</v>
      </c>
      <c r="C413" t="n">
        <v>38</v>
      </c>
      <c r="D413" s="3" t="n">
        <v>46037.15486111111</v>
      </c>
      <c r="E413" t="n">
        <v>499</v>
      </c>
      <c r="F413" t="inlineStr">
        <is>
          <t>UPI</t>
        </is>
      </c>
      <c r="G413" t="inlineStr">
        <is>
          <t>captured</t>
        </is>
      </c>
      <c r="H413" t="n">
        <v>62</v>
      </c>
      <c r="I413" s="4">
        <f>INT(D413)</f>
        <v/>
      </c>
      <c r="J413">
        <f>IFERROR(VLOOKUP(C413,Merchants!$A$2:$D$41,2,FALSE),"Merchant not found")</f>
        <v/>
      </c>
      <c r="K413">
        <f>IFERROR(VLOOKUP(C413,Merchants!$A$2:$D$41,3,FALSE),"Merchant not found")</f>
        <v/>
      </c>
      <c r="L413">
        <f>IFERROR(VLOOKUP(C413,Merchants!$A$2:$D$41,4,FALSE),"Merchant not found")</f>
        <v/>
      </c>
      <c r="M413" s="5">
        <f>HLOOKUP(F413,Fee_Reference!$B$1:$E$2,2,FALSE)</f>
        <v/>
      </c>
      <c r="N413">
        <f>SUMIFS($E$2:$E$548,$C$2:$C$548,C413,$I$2:$I$548,I413)</f>
        <v/>
      </c>
      <c r="O413">
        <f>IF(J413="Merchant not found","Merchant not found",IF(AND(N413&gt;5000,L413&lt;&gt;"East"),"High-Value Merchant Day","Normal Merchant Day"))</f>
        <v/>
      </c>
    </row>
    <row r="414">
      <c r="A414" t="inlineStr">
        <is>
          <t>TXN100412</t>
        </is>
      </c>
      <c r="B414" t="n">
        <v>29</v>
      </c>
      <c r="C414" t="n">
        <v>30</v>
      </c>
      <c r="D414" s="3" t="n">
        <v>46025.68611111111</v>
      </c>
      <c r="E414" t="n">
        <v>149</v>
      </c>
      <c r="F414" t="inlineStr">
        <is>
          <t>Netbanking</t>
        </is>
      </c>
      <c r="G414" t="inlineStr">
        <is>
          <t>captured</t>
        </is>
      </c>
      <c r="H414" t="n">
        <v>16</v>
      </c>
      <c r="I414" s="4">
        <f>INT(D414)</f>
        <v/>
      </c>
      <c r="J414">
        <f>IFERROR(VLOOKUP(C414,Merchants!$A$2:$D$41,2,FALSE),"Merchant not found")</f>
        <v/>
      </c>
      <c r="K414">
        <f>IFERROR(VLOOKUP(C414,Merchants!$A$2:$D$41,3,FALSE),"Merchant not found")</f>
        <v/>
      </c>
      <c r="L414">
        <f>IFERROR(VLOOKUP(C414,Merchants!$A$2:$D$41,4,FALSE),"Merchant not found")</f>
        <v/>
      </c>
      <c r="M414" s="5">
        <f>HLOOKUP(F414,Fee_Reference!$B$1:$E$2,2,FALSE)</f>
        <v/>
      </c>
      <c r="N414">
        <f>SUMIFS($E$2:$E$548,$C$2:$C$548,C414,$I$2:$I$548,I414)</f>
        <v/>
      </c>
      <c r="O414">
        <f>IF(J414="Merchant not found","Merchant not found",IF(AND(N414&gt;5000,L414&lt;&gt;"East"),"High-Value Merchant Day","Normal Merchant Day"))</f>
        <v/>
      </c>
    </row>
    <row r="415">
      <c r="A415" t="inlineStr">
        <is>
          <t>TXN100413</t>
        </is>
      </c>
      <c r="B415" t="n">
        <v>289</v>
      </c>
      <c r="C415" t="n">
        <v>4</v>
      </c>
      <c r="D415" s="3" t="n">
        <v>46039.56180555555</v>
      </c>
      <c r="E415" t="n">
        <v>1499</v>
      </c>
      <c r="F415" t="inlineStr">
        <is>
          <t>Card</t>
        </is>
      </c>
      <c r="G415" t="inlineStr">
        <is>
          <t>captured</t>
        </is>
      </c>
      <c r="H415" t="n">
        <v>71</v>
      </c>
      <c r="I415" s="4">
        <f>INT(D415)</f>
        <v/>
      </c>
      <c r="J415">
        <f>IFERROR(VLOOKUP(C415,Merchants!$A$2:$D$41,2,FALSE),"Merchant not found")</f>
        <v/>
      </c>
      <c r="K415">
        <f>IFERROR(VLOOKUP(C415,Merchants!$A$2:$D$41,3,FALSE),"Merchant not found")</f>
        <v/>
      </c>
      <c r="L415">
        <f>IFERROR(VLOOKUP(C415,Merchants!$A$2:$D$41,4,FALSE),"Merchant not found")</f>
        <v/>
      </c>
      <c r="M415" s="5">
        <f>HLOOKUP(F415,Fee_Reference!$B$1:$E$2,2,FALSE)</f>
        <v/>
      </c>
      <c r="N415">
        <f>SUMIFS($E$2:$E$548,$C$2:$C$548,C415,$I$2:$I$548,I415)</f>
        <v/>
      </c>
      <c r="O415">
        <f>IF(J415="Merchant not found","Merchant not found",IF(AND(N415&gt;5000,L415&lt;&gt;"East"),"High-Value Merchant Day","Normal Merchant Day"))</f>
        <v/>
      </c>
    </row>
    <row r="416">
      <c r="A416" t="inlineStr">
        <is>
          <t>TXN100414</t>
        </is>
      </c>
      <c r="B416" t="n">
        <v>158</v>
      </c>
      <c r="C416" t="n">
        <v>2</v>
      </c>
      <c r="D416" s="3" t="n">
        <v>46037.91041666667</v>
      </c>
      <c r="E416" t="n">
        <v>1499</v>
      </c>
      <c r="F416" t="inlineStr">
        <is>
          <t>Card</t>
        </is>
      </c>
      <c r="G416" t="inlineStr">
        <is>
          <t>captured</t>
        </is>
      </c>
      <c r="H416" t="n">
        <v>50</v>
      </c>
      <c r="I416" s="4">
        <f>INT(D416)</f>
        <v/>
      </c>
      <c r="J416">
        <f>IFERROR(VLOOKUP(C416,Merchants!$A$2:$D$41,2,FALSE),"Merchant not found")</f>
        <v/>
      </c>
      <c r="K416">
        <f>IFERROR(VLOOKUP(C416,Merchants!$A$2:$D$41,3,FALSE),"Merchant not found")</f>
        <v/>
      </c>
      <c r="L416">
        <f>IFERROR(VLOOKUP(C416,Merchants!$A$2:$D$41,4,FALSE),"Merchant not found")</f>
        <v/>
      </c>
      <c r="M416" s="5">
        <f>HLOOKUP(F416,Fee_Reference!$B$1:$E$2,2,FALSE)</f>
        <v/>
      </c>
      <c r="N416">
        <f>SUMIFS($E$2:$E$548,$C$2:$C$548,C416,$I$2:$I$548,I416)</f>
        <v/>
      </c>
      <c r="O416">
        <f>IF(J416="Merchant not found","Merchant not found",IF(AND(N416&gt;5000,L416&lt;&gt;"East"),"High-Value Merchant Day","Normal Merchant Day"))</f>
        <v/>
      </c>
    </row>
    <row r="417">
      <c r="A417" t="inlineStr">
        <is>
          <t>TXN100415</t>
        </is>
      </c>
      <c r="B417" t="n">
        <v>112</v>
      </c>
      <c r="C417" t="n">
        <v>38</v>
      </c>
      <c r="D417" s="3" t="n">
        <v>46031.03263888889</v>
      </c>
      <c r="E417" t="n">
        <v>49</v>
      </c>
      <c r="F417" t="inlineStr">
        <is>
          <t>UPI</t>
        </is>
      </c>
      <c r="G417" t="inlineStr">
        <is>
          <t>captured</t>
        </is>
      </c>
      <c r="H417" t="n">
        <v>9</v>
      </c>
      <c r="I417" s="4">
        <f>INT(D417)</f>
        <v/>
      </c>
      <c r="J417">
        <f>IFERROR(VLOOKUP(C417,Merchants!$A$2:$D$41,2,FALSE),"Merchant not found")</f>
        <v/>
      </c>
      <c r="K417">
        <f>IFERROR(VLOOKUP(C417,Merchants!$A$2:$D$41,3,FALSE),"Merchant not found")</f>
        <v/>
      </c>
      <c r="L417">
        <f>IFERROR(VLOOKUP(C417,Merchants!$A$2:$D$41,4,FALSE),"Merchant not found")</f>
        <v/>
      </c>
      <c r="M417" s="5">
        <f>HLOOKUP(F417,Fee_Reference!$B$1:$E$2,2,FALSE)</f>
        <v/>
      </c>
      <c r="N417">
        <f>SUMIFS($E$2:$E$548,$C$2:$C$548,C417,$I$2:$I$548,I417)</f>
        <v/>
      </c>
      <c r="O417">
        <f>IF(J417="Merchant not found","Merchant not found",IF(AND(N417&gt;5000,L417&lt;&gt;"East"),"High-Value Merchant Day","Normal Merchant Day"))</f>
        <v/>
      </c>
    </row>
    <row r="418">
      <c r="A418" t="inlineStr">
        <is>
          <t>TXN100416</t>
        </is>
      </c>
      <c r="B418" t="n">
        <v>33</v>
      </c>
      <c r="C418" t="n">
        <v>35</v>
      </c>
      <c r="D418" s="3" t="n">
        <v>46024.55694444444</v>
      </c>
      <c r="E418" t="n">
        <v>299</v>
      </c>
      <c r="F418" t="inlineStr">
        <is>
          <t>Card</t>
        </is>
      </c>
      <c r="G418" t="inlineStr">
        <is>
          <t>failed</t>
        </is>
      </c>
      <c r="H418" t="n">
        <v>7</v>
      </c>
      <c r="I418" s="4">
        <f>INT(D418)</f>
        <v/>
      </c>
      <c r="J418">
        <f>IFERROR(VLOOKUP(C418,Merchants!$A$2:$D$41,2,FALSE),"Merchant not found")</f>
        <v/>
      </c>
      <c r="K418">
        <f>IFERROR(VLOOKUP(C418,Merchants!$A$2:$D$41,3,FALSE),"Merchant not found")</f>
        <v/>
      </c>
      <c r="L418">
        <f>IFERROR(VLOOKUP(C418,Merchants!$A$2:$D$41,4,FALSE),"Merchant not found")</f>
        <v/>
      </c>
      <c r="M418" s="5">
        <f>HLOOKUP(F418,Fee_Reference!$B$1:$E$2,2,FALSE)</f>
        <v/>
      </c>
      <c r="N418">
        <f>SUMIFS($E$2:$E$548,$C$2:$C$548,C418,$I$2:$I$548,I418)</f>
        <v/>
      </c>
      <c r="O418">
        <f>IF(J418="Merchant not found","Merchant not found",IF(AND(N418&gt;5000,L418&lt;&gt;"East"),"High-Value Merchant Day","Normal Merchant Day"))</f>
        <v/>
      </c>
    </row>
    <row r="419">
      <c r="A419" t="inlineStr">
        <is>
          <t>TXN100417</t>
        </is>
      </c>
      <c r="B419" t="n">
        <v>242</v>
      </c>
      <c r="C419" t="n">
        <v>3</v>
      </c>
      <c r="D419" s="3" t="n">
        <v>46052.12430555555</v>
      </c>
      <c r="E419" t="n">
        <v>49</v>
      </c>
      <c r="F419" t="inlineStr">
        <is>
          <t>UPI</t>
        </is>
      </c>
      <c r="G419" t="inlineStr">
        <is>
          <t>captured</t>
        </is>
      </c>
      <c r="H419" t="n">
        <v>36</v>
      </c>
      <c r="I419" s="4">
        <f>INT(D419)</f>
        <v/>
      </c>
      <c r="J419">
        <f>IFERROR(VLOOKUP(C419,Merchants!$A$2:$D$41,2,FALSE),"Merchant not found")</f>
        <v/>
      </c>
      <c r="K419">
        <f>IFERROR(VLOOKUP(C419,Merchants!$A$2:$D$41,3,FALSE),"Merchant not found")</f>
        <v/>
      </c>
      <c r="L419">
        <f>IFERROR(VLOOKUP(C419,Merchants!$A$2:$D$41,4,FALSE),"Merchant not found")</f>
        <v/>
      </c>
      <c r="M419" s="5">
        <f>HLOOKUP(F419,Fee_Reference!$B$1:$E$2,2,FALSE)</f>
        <v/>
      </c>
      <c r="N419">
        <f>SUMIFS($E$2:$E$548,$C$2:$C$548,C419,$I$2:$I$548,I419)</f>
        <v/>
      </c>
      <c r="O419">
        <f>IF(J419="Merchant not found","Merchant not found",IF(AND(N419&gt;5000,L419&lt;&gt;"East"),"High-Value Merchant Day","Normal Merchant Day"))</f>
        <v/>
      </c>
    </row>
    <row r="420">
      <c r="A420" t="inlineStr">
        <is>
          <t>TXN100418</t>
        </is>
      </c>
      <c r="B420" t="n">
        <v>70</v>
      </c>
      <c r="C420" t="n">
        <v>27</v>
      </c>
      <c r="D420" s="3" t="n">
        <v>46036.24236111111</v>
      </c>
      <c r="E420" t="n">
        <v>149</v>
      </c>
      <c r="F420" t="inlineStr">
        <is>
          <t>UPI</t>
        </is>
      </c>
      <c r="G420" t="inlineStr">
        <is>
          <t>captured</t>
        </is>
      </c>
      <c r="H420" t="n">
        <v>47</v>
      </c>
      <c r="I420" s="4">
        <f>INT(D420)</f>
        <v/>
      </c>
      <c r="J420">
        <f>IFERROR(VLOOKUP(C420,Merchants!$A$2:$D$41,2,FALSE),"Merchant not found")</f>
        <v/>
      </c>
      <c r="K420">
        <f>IFERROR(VLOOKUP(C420,Merchants!$A$2:$D$41,3,FALSE),"Merchant not found")</f>
        <v/>
      </c>
      <c r="L420">
        <f>IFERROR(VLOOKUP(C420,Merchants!$A$2:$D$41,4,FALSE),"Merchant not found")</f>
        <v/>
      </c>
      <c r="M420" s="5">
        <f>HLOOKUP(F420,Fee_Reference!$B$1:$E$2,2,FALSE)</f>
        <v/>
      </c>
      <c r="N420">
        <f>SUMIFS($E$2:$E$548,$C$2:$C$548,C420,$I$2:$I$548,I420)</f>
        <v/>
      </c>
      <c r="O420">
        <f>IF(J420="Merchant not found","Merchant not found",IF(AND(N420&gt;5000,L420&lt;&gt;"East"),"High-Value Merchant Day","Normal Merchant Day"))</f>
        <v/>
      </c>
    </row>
    <row r="421">
      <c r="A421" t="inlineStr">
        <is>
          <t>TXN100419</t>
        </is>
      </c>
      <c r="B421" t="n">
        <v>194</v>
      </c>
      <c r="C421" t="n">
        <v>25</v>
      </c>
      <c r="D421" s="3" t="n">
        <v>46051.51944444444</v>
      </c>
      <c r="E421" t="n">
        <v>49</v>
      </c>
      <c r="F421" t="inlineStr">
        <is>
          <t>Wallet</t>
        </is>
      </c>
      <c r="G421" t="inlineStr">
        <is>
          <t>captured</t>
        </is>
      </c>
      <c r="H421" t="n">
        <v>10</v>
      </c>
      <c r="I421" s="4">
        <f>INT(D421)</f>
        <v/>
      </c>
      <c r="J421">
        <f>IFERROR(VLOOKUP(C421,Merchants!$A$2:$D$41,2,FALSE),"Merchant not found")</f>
        <v/>
      </c>
      <c r="K421">
        <f>IFERROR(VLOOKUP(C421,Merchants!$A$2:$D$41,3,FALSE),"Merchant not found")</f>
        <v/>
      </c>
      <c r="L421">
        <f>IFERROR(VLOOKUP(C421,Merchants!$A$2:$D$41,4,FALSE),"Merchant not found")</f>
        <v/>
      </c>
      <c r="M421" s="5">
        <f>HLOOKUP(F421,Fee_Reference!$B$1:$E$2,2,FALSE)</f>
        <v/>
      </c>
      <c r="N421">
        <f>SUMIFS($E$2:$E$548,$C$2:$C$548,C421,$I$2:$I$548,I421)</f>
        <v/>
      </c>
      <c r="O421">
        <f>IF(J421="Merchant not found","Merchant not found",IF(AND(N421&gt;5000,L421&lt;&gt;"East"),"High-Value Merchant Day","Normal Merchant Day"))</f>
        <v/>
      </c>
    </row>
    <row r="422">
      <c r="A422" t="inlineStr">
        <is>
          <t>TXN100420</t>
        </is>
      </c>
      <c r="B422" t="n">
        <v>277</v>
      </c>
      <c r="C422" t="n">
        <v>9</v>
      </c>
      <c r="D422" s="3" t="n">
        <v>46044.91319444445</v>
      </c>
      <c r="E422" t="n">
        <v>799</v>
      </c>
      <c r="F422" t="inlineStr">
        <is>
          <t>UPI</t>
        </is>
      </c>
      <c r="G422" t="inlineStr">
        <is>
          <t>captured</t>
        </is>
      </c>
      <c r="H422" t="n">
        <v>83</v>
      </c>
      <c r="I422" s="4">
        <f>INT(D422)</f>
        <v/>
      </c>
      <c r="J422">
        <f>IFERROR(VLOOKUP(C422,Merchants!$A$2:$D$41,2,FALSE),"Merchant not found")</f>
        <v/>
      </c>
      <c r="K422">
        <f>IFERROR(VLOOKUP(C422,Merchants!$A$2:$D$41,3,FALSE),"Merchant not found")</f>
        <v/>
      </c>
      <c r="L422">
        <f>IFERROR(VLOOKUP(C422,Merchants!$A$2:$D$41,4,FALSE),"Merchant not found")</f>
        <v/>
      </c>
      <c r="M422" s="5">
        <f>HLOOKUP(F422,Fee_Reference!$B$1:$E$2,2,FALSE)</f>
        <v/>
      </c>
      <c r="N422">
        <f>SUMIFS($E$2:$E$548,$C$2:$C$548,C422,$I$2:$I$548,I422)</f>
        <v/>
      </c>
      <c r="O422">
        <f>IF(J422="Merchant not found","Merchant not found",IF(AND(N422&gt;5000,L422&lt;&gt;"East"),"High-Value Merchant Day","Normal Merchant Day"))</f>
        <v/>
      </c>
    </row>
    <row r="423">
      <c r="A423" t="inlineStr">
        <is>
          <t>TXN100421</t>
        </is>
      </c>
      <c r="B423" t="n">
        <v>92</v>
      </c>
      <c r="C423" t="n">
        <v>35</v>
      </c>
      <c r="D423" s="3" t="n">
        <v>46050.46319444444</v>
      </c>
      <c r="E423" t="n">
        <v>49</v>
      </c>
      <c r="F423" t="inlineStr">
        <is>
          <t>UPI</t>
        </is>
      </c>
      <c r="G423" t="inlineStr">
        <is>
          <t>captured</t>
        </is>
      </c>
      <c r="H423" t="n">
        <v>50</v>
      </c>
      <c r="I423" s="4">
        <f>INT(D423)</f>
        <v/>
      </c>
      <c r="J423">
        <f>IFERROR(VLOOKUP(C423,Merchants!$A$2:$D$41,2,FALSE),"Merchant not found")</f>
        <v/>
      </c>
      <c r="K423">
        <f>IFERROR(VLOOKUP(C423,Merchants!$A$2:$D$41,3,FALSE),"Merchant not found")</f>
        <v/>
      </c>
      <c r="L423">
        <f>IFERROR(VLOOKUP(C423,Merchants!$A$2:$D$41,4,FALSE),"Merchant not found")</f>
        <v/>
      </c>
      <c r="M423" s="5">
        <f>HLOOKUP(F423,Fee_Reference!$B$1:$E$2,2,FALSE)</f>
        <v/>
      </c>
      <c r="N423">
        <f>SUMIFS($E$2:$E$548,$C$2:$C$548,C423,$I$2:$I$548,I423)</f>
        <v/>
      </c>
      <c r="O423">
        <f>IF(J423="Merchant not found","Merchant not found",IF(AND(N423&gt;5000,L423&lt;&gt;"East"),"High-Value Merchant Day","Normal Merchant Day"))</f>
        <v/>
      </c>
    </row>
    <row r="424">
      <c r="A424" t="inlineStr">
        <is>
          <t>TXN100422</t>
        </is>
      </c>
      <c r="B424" t="n">
        <v>115</v>
      </c>
      <c r="C424" t="n">
        <v>1</v>
      </c>
      <c r="D424" s="3" t="n">
        <v>46039.19861111111</v>
      </c>
      <c r="E424" t="n">
        <v>149</v>
      </c>
      <c r="F424" t="inlineStr">
        <is>
          <t>Wallet</t>
        </is>
      </c>
      <c r="G424" t="inlineStr">
        <is>
          <t>captured</t>
        </is>
      </c>
      <c r="H424" t="n">
        <v>96</v>
      </c>
      <c r="I424" s="4">
        <f>INT(D424)</f>
        <v/>
      </c>
      <c r="J424">
        <f>IFERROR(VLOOKUP(C424,Merchants!$A$2:$D$41,2,FALSE),"Merchant not found")</f>
        <v/>
      </c>
      <c r="K424">
        <f>IFERROR(VLOOKUP(C424,Merchants!$A$2:$D$41,3,FALSE),"Merchant not found")</f>
        <v/>
      </c>
      <c r="L424">
        <f>IFERROR(VLOOKUP(C424,Merchants!$A$2:$D$41,4,FALSE),"Merchant not found")</f>
        <v/>
      </c>
      <c r="M424" s="5">
        <f>HLOOKUP(F424,Fee_Reference!$B$1:$E$2,2,FALSE)</f>
        <v/>
      </c>
      <c r="N424">
        <f>SUMIFS($E$2:$E$548,$C$2:$C$548,C424,$I$2:$I$548,I424)</f>
        <v/>
      </c>
      <c r="O424">
        <f>IF(J424="Merchant not found","Merchant not found",IF(AND(N424&gt;5000,L424&lt;&gt;"East"),"High-Value Merchant Day","Normal Merchant Day"))</f>
        <v/>
      </c>
    </row>
    <row r="425">
      <c r="A425" t="inlineStr">
        <is>
          <t>TXN100423</t>
        </is>
      </c>
      <c r="B425" t="n">
        <v>345</v>
      </c>
      <c r="C425" t="n">
        <v>35</v>
      </c>
      <c r="D425" s="3" t="n">
        <v>46023.39513888889</v>
      </c>
      <c r="E425" t="n">
        <v>499</v>
      </c>
      <c r="F425" t="inlineStr">
        <is>
          <t>Card</t>
        </is>
      </c>
      <c r="G425" t="inlineStr">
        <is>
          <t>captured</t>
        </is>
      </c>
      <c r="H425" t="n">
        <v>54</v>
      </c>
      <c r="I425" s="4">
        <f>INT(D425)</f>
        <v/>
      </c>
      <c r="J425">
        <f>IFERROR(VLOOKUP(C425,Merchants!$A$2:$D$41,2,FALSE),"Merchant not found")</f>
        <v/>
      </c>
      <c r="K425">
        <f>IFERROR(VLOOKUP(C425,Merchants!$A$2:$D$41,3,FALSE),"Merchant not found")</f>
        <v/>
      </c>
      <c r="L425">
        <f>IFERROR(VLOOKUP(C425,Merchants!$A$2:$D$41,4,FALSE),"Merchant not found")</f>
        <v/>
      </c>
      <c r="M425" s="5">
        <f>HLOOKUP(F425,Fee_Reference!$B$1:$E$2,2,FALSE)</f>
        <v/>
      </c>
      <c r="N425">
        <f>SUMIFS($E$2:$E$548,$C$2:$C$548,C425,$I$2:$I$548,I425)</f>
        <v/>
      </c>
      <c r="O425">
        <f>IF(J425="Merchant not found","Merchant not found",IF(AND(N425&gt;5000,L425&lt;&gt;"East"),"High-Value Merchant Day","Normal Merchant Day"))</f>
        <v/>
      </c>
    </row>
    <row r="426">
      <c r="A426" t="inlineStr">
        <is>
          <t>TXN100424</t>
        </is>
      </c>
      <c r="B426" t="n">
        <v>118</v>
      </c>
      <c r="C426" t="n">
        <v>16</v>
      </c>
      <c r="D426" s="3" t="n">
        <v>46040.53611111111</v>
      </c>
      <c r="E426" t="n">
        <v>49</v>
      </c>
      <c r="F426" t="inlineStr">
        <is>
          <t>UPI</t>
        </is>
      </c>
      <c r="G426" t="inlineStr">
        <is>
          <t>captured</t>
        </is>
      </c>
      <c r="H426" t="n">
        <v>58</v>
      </c>
      <c r="I426" s="4">
        <f>INT(D426)</f>
        <v/>
      </c>
      <c r="J426">
        <f>IFERROR(VLOOKUP(C426,Merchants!$A$2:$D$41,2,FALSE),"Merchant not found")</f>
        <v/>
      </c>
      <c r="K426">
        <f>IFERROR(VLOOKUP(C426,Merchants!$A$2:$D$41,3,FALSE),"Merchant not found")</f>
        <v/>
      </c>
      <c r="L426">
        <f>IFERROR(VLOOKUP(C426,Merchants!$A$2:$D$41,4,FALSE),"Merchant not found")</f>
        <v/>
      </c>
      <c r="M426" s="5">
        <f>HLOOKUP(F426,Fee_Reference!$B$1:$E$2,2,FALSE)</f>
        <v/>
      </c>
      <c r="N426">
        <f>SUMIFS($E$2:$E$548,$C$2:$C$548,C426,$I$2:$I$548,I426)</f>
        <v/>
      </c>
      <c r="O426">
        <f>IF(J426="Merchant not found","Merchant not found",IF(AND(N426&gt;5000,L426&lt;&gt;"East"),"High-Value Merchant Day","Normal Merchant Day"))</f>
        <v/>
      </c>
    </row>
    <row r="427">
      <c r="A427" t="inlineStr">
        <is>
          <t>TXN100425</t>
        </is>
      </c>
      <c r="B427" t="n">
        <v>97</v>
      </c>
      <c r="C427" t="n">
        <v>8</v>
      </c>
      <c r="D427" s="3" t="n">
        <v>46034.17847222222</v>
      </c>
      <c r="E427" t="n">
        <v>99</v>
      </c>
      <c r="F427" t="inlineStr">
        <is>
          <t>Netbanking</t>
        </is>
      </c>
      <c r="G427" t="inlineStr">
        <is>
          <t>captured</t>
        </is>
      </c>
      <c r="H427" t="n">
        <v>4</v>
      </c>
      <c r="I427" s="4">
        <f>INT(D427)</f>
        <v/>
      </c>
      <c r="J427">
        <f>IFERROR(VLOOKUP(C427,Merchants!$A$2:$D$41,2,FALSE),"Merchant not found")</f>
        <v/>
      </c>
      <c r="K427">
        <f>IFERROR(VLOOKUP(C427,Merchants!$A$2:$D$41,3,FALSE),"Merchant not found")</f>
        <v/>
      </c>
      <c r="L427">
        <f>IFERROR(VLOOKUP(C427,Merchants!$A$2:$D$41,4,FALSE),"Merchant not found")</f>
        <v/>
      </c>
      <c r="M427" s="5">
        <f>HLOOKUP(F427,Fee_Reference!$B$1:$E$2,2,FALSE)</f>
        <v/>
      </c>
      <c r="N427">
        <f>SUMIFS($E$2:$E$548,$C$2:$C$548,C427,$I$2:$I$548,I427)</f>
        <v/>
      </c>
      <c r="O427">
        <f>IF(J427="Merchant not found","Merchant not found",IF(AND(N427&gt;5000,L427&lt;&gt;"East"),"High-Value Merchant Day","Normal Merchant Day"))</f>
        <v/>
      </c>
    </row>
    <row r="428">
      <c r="A428" t="inlineStr">
        <is>
          <t>TXN100426</t>
        </is>
      </c>
      <c r="B428" t="n">
        <v>315</v>
      </c>
      <c r="C428" t="n">
        <v>2</v>
      </c>
      <c r="D428" s="3" t="n">
        <v>46048.89305555556</v>
      </c>
      <c r="E428" t="n">
        <v>299</v>
      </c>
      <c r="F428" t="inlineStr">
        <is>
          <t>Wallet</t>
        </is>
      </c>
      <c r="G428" t="inlineStr">
        <is>
          <t>captured</t>
        </is>
      </c>
      <c r="H428" t="n">
        <v>30</v>
      </c>
      <c r="I428" s="4">
        <f>INT(D428)</f>
        <v/>
      </c>
      <c r="J428">
        <f>IFERROR(VLOOKUP(C428,Merchants!$A$2:$D$41,2,FALSE),"Merchant not found")</f>
        <v/>
      </c>
      <c r="K428">
        <f>IFERROR(VLOOKUP(C428,Merchants!$A$2:$D$41,3,FALSE),"Merchant not found")</f>
        <v/>
      </c>
      <c r="L428">
        <f>IFERROR(VLOOKUP(C428,Merchants!$A$2:$D$41,4,FALSE),"Merchant not found")</f>
        <v/>
      </c>
      <c r="M428" s="5">
        <f>HLOOKUP(F428,Fee_Reference!$B$1:$E$2,2,FALSE)</f>
        <v/>
      </c>
      <c r="N428">
        <f>SUMIFS($E$2:$E$548,$C$2:$C$548,C428,$I$2:$I$548,I428)</f>
        <v/>
      </c>
      <c r="O428">
        <f>IF(J428="Merchant not found","Merchant not found",IF(AND(N428&gt;5000,L428&lt;&gt;"East"),"High-Value Merchant Day","Normal Merchant Day"))</f>
        <v/>
      </c>
    </row>
    <row r="429">
      <c r="A429" t="inlineStr">
        <is>
          <t>TXN100427</t>
        </is>
      </c>
      <c r="B429" t="n">
        <v>305</v>
      </c>
      <c r="C429" t="n">
        <v>3</v>
      </c>
      <c r="D429" s="3" t="n">
        <v>46029.0875</v>
      </c>
      <c r="E429" t="n">
        <v>299</v>
      </c>
      <c r="F429" t="inlineStr">
        <is>
          <t>UPI</t>
        </is>
      </c>
      <c r="G429" t="inlineStr">
        <is>
          <t>captured</t>
        </is>
      </c>
      <c r="H429" t="n">
        <v>57</v>
      </c>
      <c r="I429" s="4">
        <f>INT(D429)</f>
        <v/>
      </c>
      <c r="J429">
        <f>IFERROR(VLOOKUP(C429,Merchants!$A$2:$D$41,2,FALSE),"Merchant not found")</f>
        <v/>
      </c>
      <c r="K429">
        <f>IFERROR(VLOOKUP(C429,Merchants!$A$2:$D$41,3,FALSE),"Merchant not found")</f>
        <v/>
      </c>
      <c r="L429">
        <f>IFERROR(VLOOKUP(C429,Merchants!$A$2:$D$41,4,FALSE),"Merchant not found")</f>
        <v/>
      </c>
      <c r="M429" s="5">
        <f>HLOOKUP(F429,Fee_Reference!$B$1:$E$2,2,FALSE)</f>
        <v/>
      </c>
      <c r="N429">
        <f>SUMIFS($E$2:$E$548,$C$2:$C$548,C429,$I$2:$I$548,I429)</f>
        <v/>
      </c>
      <c r="O429">
        <f>IF(J429="Merchant not found","Merchant not found",IF(AND(N429&gt;5000,L429&lt;&gt;"East"),"High-Value Merchant Day","Normal Merchant Day"))</f>
        <v/>
      </c>
    </row>
    <row r="430">
      <c r="A430" t="inlineStr">
        <is>
          <t>TXN100428</t>
        </is>
      </c>
      <c r="B430" t="n">
        <v>25</v>
      </c>
      <c r="C430" t="n">
        <v>16</v>
      </c>
      <c r="D430" s="3" t="n">
        <v>46042.90625</v>
      </c>
      <c r="E430" t="n">
        <v>299</v>
      </c>
      <c r="F430" t="inlineStr">
        <is>
          <t>UPI</t>
        </is>
      </c>
      <c r="G430" t="inlineStr">
        <is>
          <t>captured</t>
        </is>
      </c>
      <c r="H430" t="n">
        <v>94</v>
      </c>
      <c r="I430" s="4">
        <f>INT(D430)</f>
        <v/>
      </c>
      <c r="J430">
        <f>IFERROR(VLOOKUP(C430,Merchants!$A$2:$D$41,2,FALSE),"Merchant not found")</f>
        <v/>
      </c>
      <c r="K430">
        <f>IFERROR(VLOOKUP(C430,Merchants!$A$2:$D$41,3,FALSE),"Merchant not found")</f>
        <v/>
      </c>
      <c r="L430">
        <f>IFERROR(VLOOKUP(C430,Merchants!$A$2:$D$41,4,FALSE),"Merchant not found")</f>
        <v/>
      </c>
      <c r="M430" s="5">
        <f>HLOOKUP(F430,Fee_Reference!$B$1:$E$2,2,FALSE)</f>
        <v/>
      </c>
      <c r="N430">
        <f>SUMIFS($E$2:$E$548,$C$2:$C$548,C430,$I$2:$I$548,I430)</f>
        <v/>
      </c>
      <c r="O430">
        <f>IF(J430="Merchant not found","Merchant not found",IF(AND(N430&gt;5000,L430&lt;&gt;"East"),"High-Value Merchant Day","Normal Merchant Day"))</f>
        <v/>
      </c>
    </row>
    <row r="431">
      <c r="A431" t="inlineStr">
        <is>
          <t>TXN100429</t>
        </is>
      </c>
      <c r="B431" t="n">
        <v>120</v>
      </c>
      <c r="C431" t="n">
        <v>35</v>
      </c>
      <c r="D431" s="3" t="n">
        <v>46024.51944444444</v>
      </c>
      <c r="E431" t="n">
        <v>49</v>
      </c>
      <c r="F431" t="inlineStr">
        <is>
          <t>UPI</t>
        </is>
      </c>
      <c r="G431" t="inlineStr">
        <is>
          <t>captured</t>
        </is>
      </c>
      <c r="H431" t="n">
        <v>27</v>
      </c>
      <c r="I431" s="4">
        <f>INT(D431)</f>
        <v/>
      </c>
      <c r="J431">
        <f>IFERROR(VLOOKUP(C431,Merchants!$A$2:$D$41,2,FALSE),"Merchant not found")</f>
        <v/>
      </c>
      <c r="K431">
        <f>IFERROR(VLOOKUP(C431,Merchants!$A$2:$D$41,3,FALSE),"Merchant not found")</f>
        <v/>
      </c>
      <c r="L431">
        <f>IFERROR(VLOOKUP(C431,Merchants!$A$2:$D$41,4,FALSE),"Merchant not found")</f>
        <v/>
      </c>
      <c r="M431" s="5">
        <f>HLOOKUP(F431,Fee_Reference!$B$1:$E$2,2,FALSE)</f>
        <v/>
      </c>
      <c r="N431">
        <f>SUMIFS($E$2:$E$548,$C$2:$C$548,C431,$I$2:$I$548,I431)</f>
        <v/>
      </c>
      <c r="O431">
        <f>IF(J431="Merchant not found","Merchant not found",IF(AND(N431&gt;5000,L431&lt;&gt;"East"),"High-Value Merchant Day","Normal Merchant Day"))</f>
        <v/>
      </c>
    </row>
    <row r="432">
      <c r="A432" t="inlineStr">
        <is>
          <t>TXN100430</t>
        </is>
      </c>
      <c r="B432" t="n">
        <v>258</v>
      </c>
      <c r="C432" t="n">
        <v>19</v>
      </c>
      <c r="D432" s="3" t="n">
        <v>46047.04722222222</v>
      </c>
      <c r="E432" t="n">
        <v>49</v>
      </c>
      <c r="F432" t="inlineStr">
        <is>
          <t>Wallet</t>
        </is>
      </c>
      <c r="G432" t="inlineStr">
        <is>
          <t>captured</t>
        </is>
      </c>
      <c r="H432" t="n">
        <v>29</v>
      </c>
      <c r="I432" s="4">
        <f>INT(D432)</f>
        <v/>
      </c>
      <c r="J432">
        <f>IFERROR(VLOOKUP(C432,Merchants!$A$2:$D$41,2,FALSE),"Merchant not found")</f>
        <v/>
      </c>
      <c r="K432">
        <f>IFERROR(VLOOKUP(C432,Merchants!$A$2:$D$41,3,FALSE),"Merchant not found")</f>
        <v/>
      </c>
      <c r="L432">
        <f>IFERROR(VLOOKUP(C432,Merchants!$A$2:$D$41,4,FALSE),"Merchant not found")</f>
        <v/>
      </c>
      <c r="M432" s="5">
        <f>HLOOKUP(F432,Fee_Reference!$B$1:$E$2,2,FALSE)</f>
        <v/>
      </c>
      <c r="N432">
        <f>SUMIFS($E$2:$E$548,$C$2:$C$548,C432,$I$2:$I$548,I432)</f>
        <v/>
      </c>
      <c r="O432">
        <f>IF(J432="Merchant not found","Merchant not found",IF(AND(N432&gt;5000,L432&lt;&gt;"East"),"High-Value Merchant Day","Normal Merchant Day"))</f>
        <v/>
      </c>
    </row>
    <row r="433">
      <c r="A433" t="inlineStr">
        <is>
          <t>TXN100431</t>
        </is>
      </c>
      <c r="B433" t="n">
        <v>164</v>
      </c>
      <c r="C433" t="n">
        <v>37</v>
      </c>
      <c r="D433" s="3" t="n">
        <v>46049.98333333333</v>
      </c>
      <c r="E433" t="n">
        <v>799</v>
      </c>
      <c r="F433" t="inlineStr">
        <is>
          <t>UPI</t>
        </is>
      </c>
      <c r="G433" t="inlineStr">
        <is>
          <t>captured</t>
        </is>
      </c>
      <c r="H433" t="n">
        <v>76</v>
      </c>
      <c r="I433" s="4">
        <f>INT(D433)</f>
        <v/>
      </c>
      <c r="J433">
        <f>IFERROR(VLOOKUP(C433,Merchants!$A$2:$D$41,2,FALSE),"Merchant not found")</f>
        <v/>
      </c>
      <c r="K433">
        <f>IFERROR(VLOOKUP(C433,Merchants!$A$2:$D$41,3,FALSE),"Merchant not found")</f>
        <v/>
      </c>
      <c r="L433">
        <f>IFERROR(VLOOKUP(C433,Merchants!$A$2:$D$41,4,FALSE),"Merchant not found")</f>
        <v/>
      </c>
      <c r="M433" s="5">
        <f>HLOOKUP(F433,Fee_Reference!$B$1:$E$2,2,FALSE)</f>
        <v/>
      </c>
      <c r="N433">
        <f>SUMIFS($E$2:$E$548,$C$2:$C$548,C433,$I$2:$I$548,I433)</f>
        <v/>
      </c>
      <c r="O433">
        <f>IF(J433="Merchant not found","Merchant not found",IF(AND(N433&gt;5000,L433&lt;&gt;"East"),"High-Value Merchant Day","Normal Merchant Day"))</f>
        <v/>
      </c>
    </row>
    <row r="434">
      <c r="A434" t="inlineStr">
        <is>
          <t>TXN100432</t>
        </is>
      </c>
      <c r="B434" t="n">
        <v>165</v>
      </c>
      <c r="C434" t="n">
        <v>16</v>
      </c>
      <c r="D434" s="3" t="n">
        <v>46047.91111111111</v>
      </c>
      <c r="E434" t="n">
        <v>49</v>
      </c>
      <c r="F434" t="inlineStr">
        <is>
          <t>Wallet</t>
        </is>
      </c>
      <c r="G434" t="inlineStr">
        <is>
          <t>captured</t>
        </is>
      </c>
      <c r="H434" t="n">
        <v>38</v>
      </c>
      <c r="I434" s="4">
        <f>INT(D434)</f>
        <v/>
      </c>
      <c r="J434">
        <f>IFERROR(VLOOKUP(C434,Merchants!$A$2:$D$41,2,FALSE),"Merchant not found")</f>
        <v/>
      </c>
      <c r="K434">
        <f>IFERROR(VLOOKUP(C434,Merchants!$A$2:$D$41,3,FALSE),"Merchant not found")</f>
        <v/>
      </c>
      <c r="L434">
        <f>IFERROR(VLOOKUP(C434,Merchants!$A$2:$D$41,4,FALSE),"Merchant not found")</f>
        <v/>
      </c>
      <c r="M434" s="5">
        <f>HLOOKUP(F434,Fee_Reference!$B$1:$E$2,2,FALSE)</f>
        <v/>
      </c>
      <c r="N434">
        <f>SUMIFS($E$2:$E$548,$C$2:$C$548,C434,$I$2:$I$548,I434)</f>
        <v/>
      </c>
      <c r="O434">
        <f>IF(J434="Merchant not found","Merchant not found",IF(AND(N434&gt;5000,L434&lt;&gt;"East"),"High-Value Merchant Day","Normal Merchant Day"))</f>
        <v/>
      </c>
    </row>
    <row r="435">
      <c r="A435" t="inlineStr">
        <is>
          <t>TXN100433</t>
        </is>
      </c>
      <c r="B435" t="n">
        <v>267</v>
      </c>
      <c r="C435" t="n">
        <v>15</v>
      </c>
      <c r="D435" s="3" t="n">
        <v>46051.19583333333</v>
      </c>
      <c r="E435" t="n">
        <v>49</v>
      </c>
      <c r="F435" t="inlineStr">
        <is>
          <t>Netbanking</t>
        </is>
      </c>
      <c r="G435" t="inlineStr">
        <is>
          <t>captured</t>
        </is>
      </c>
      <c r="H435" t="n">
        <v>52</v>
      </c>
      <c r="I435" s="4">
        <f>INT(D435)</f>
        <v/>
      </c>
      <c r="J435">
        <f>IFERROR(VLOOKUP(C435,Merchants!$A$2:$D$41,2,FALSE),"Merchant not found")</f>
        <v/>
      </c>
      <c r="K435">
        <f>IFERROR(VLOOKUP(C435,Merchants!$A$2:$D$41,3,FALSE),"Merchant not found")</f>
        <v/>
      </c>
      <c r="L435">
        <f>IFERROR(VLOOKUP(C435,Merchants!$A$2:$D$41,4,FALSE),"Merchant not found")</f>
        <v/>
      </c>
      <c r="M435" s="5">
        <f>HLOOKUP(F435,Fee_Reference!$B$1:$E$2,2,FALSE)</f>
        <v/>
      </c>
      <c r="N435">
        <f>SUMIFS($E$2:$E$548,$C$2:$C$548,C435,$I$2:$I$548,I435)</f>
        <v/>
      </c>
      <c r="O435">
        <f>IF(J435="Merchant not found","Merchant not found",IF(AND(N435&gt;5000,L435&lt;&gt;"East"),"High-Value Merchant Day","Normal Merchant Day"))</f>
        <v/>
      </c>
    </row>
    <row r="436">
      <c r="A436" t="inlineStr">
        <is>
          <t>TXN100434</t>
        </is>
      </c>
      <c r="B436" t="n">
        <v>286</v>
      </c>
      <c r="C436" t="n">
        <v>38</v>
      </c>
      <c r="D436" s="3" t="n">
        <v>46032.33541666667</v>
      </c>
      <c r="E436" t="n">
        <v>299</v>
      </c>
      <c r="F436" t="inlineStr">
        <is>
          <t>Wallet</t>
        </is>
      </c>
      <c r="G436" t="inlineStr">
        <is>
          <t>captured</t>
        </is>
      </c>
      <c r="H436" t="n">
        <v>94</v>
      </c>
      <c r="I436" s="4">
        <f>INT(D436)</f>
        <v/>
      </c>
      <c r="J436">
        <f>IFERROR(VLOOKUP(C436,Merchants!$A$2:$D$41,2,FALSE),"Merchant not found")</f>
        <v/>
      </c>
      <c r="K436">
        <f>IFERROR(VLOOKUP(C436,Merchants!$A$2:$D$41,3,FALSE),"Merchant not found")</f>
        <v/>
      </c>
      <c r="L436">
        <f>IFERROR(VLOOKUP(C436,Merchants!$A$2:$D$41,4,FALSE),"Merchant not found")</f>
        <v/>
      </c>
      <c r="M436" s="5">
        <f>HLOOKUP(F436,Fee_Reference!$B$1:$E$2,2,FALSE)</f>
        <v/>
      </c>
      <c r="N436">
        <f>SUMIFS($E$2:$E$548,$C$2:$C$548,C436,$I$2:$I$548,I436)</f>
        <v/>
      </c>
      <c r="O436">
        <f>IF(J436="Merchant not found","Merchant not found",IF(AND(N436&gt;5000,L436&lt;&gt;"East"),"High-Value Merchant Day","Normal Merchant Day"))</f>
        <v/>
      </c>
    </row>
    <row r="437">
      <c r="A437" t="inlineStr">
        <is>
          <t>TXN100435</t>
        </is>
      </c>
      <c r="B437" t="n">
        <v>348</v>
      </c>
      <c r="C437" t="n">
        <v>28</v>
      </c>
      <c r="D437" s="3" t="n">
        <v>46052.23611111111</v>
      </c>
      <c r="E437" t="n">
        <v>499</v>
      </c>
      <c r="F437" t="inlineStr">
        <is>
          <t>Card</t>
        </is>
      </c>
      <c r="G437" t="inlineStr">
        <is>
          <t>captured</t>
        </is>
      </c>
      <c r="H437" t="n">
        <v>71</v>
      </c>
      <c r="I437" s="4">
        <f>INT(D437)</f>
        <v/>
      </c>
      <c r="J437">
        <f>IFERROR(VLOOKUP(C437,Merchants!$A$2:$D$41,2,FALSE),"Merchant not found")</f>
        <v/>
      </c>
      <c r="K437">
        <f>IFERROR(VLOOKUP(C437,Merchants!$A$2:$D$41,3,FALSE),"Merchant not found")</f>
        <v/>
      </c>
      <c r="L437">
        <f>IFERROR(VLOOKUP(C437,Merchants!$A$2:$D$41,4,FALSE),"Merchant not found")</f>
        <v/>
      </c>
      <c r="M437" s="5">
        <f>HLOOKUP(F437,Fee_Reference!$B$1:$E$2,2,FALSE)</f>
        <v/>
      </c>
      <c r="N437">
        <f>SUMIFS($E$2:$E$548,$C$2:$C$548,C437,$I$2:$I$548,I437)</f>
        <v/>
      </c>
      <c r="O437">
        <f>IF(J437="Merchant not found","Merchant not found",IF(AND(N437&gt;5000,L437&lt;&gt;"East"),"High-Value Merchant Day","Normal Merchant Day"))</f>
        <v/>
      </c>
    </row>
    <row r="438">
      <c r="A438" t="inlineStr">
        <is>
          <t>TXN100436</t>
        </is>
      </c>
      <c r="B438" t="n">
        <v>330</v>
      </c>
      <c r="C438" t="n">
        <v>25</v>
      </c>
      <c r="D438" s="3" t="n">
        <v>46038.05694444444</v>
      </c>
      <c r="E438" t="n">
        <v>799</v>
      </c>
      <c r="F438" t="inlineStr">
        <is>
          <t>UPI</t>
        </is>
      </c>
      <c r="G438" t="inlineStr">
        <is>
          <t>captured</t>
        </is>
      </c>
      <c r="H438" t="n">
        <v>100</v>
      </c>
      <c r="I438" s="4">
        <f>INT(D438)</f>
        <v/>
      </c>
      <c r="J438">
        <f>IFERROR(VLOOKUP(C438,Merchants!$A$2:$D$41,2,FALSE),"Merchant not found")</f>
        <v/>
      </c>
      <c r="K438">
        <f>IFERROR(VLOOKUP(C438,Merchants!$A$2:$D$41,3,FALSE),"Merchant not found")</f>
        <v/>
      </c>
      <c r="L438">
        <f>IFERROR(VLOOKUP(C438,Merchants!$A$2:$D$41,4,FALSE),"Merchant not found")</f>
        <v/>
      </c>
      <c r="M438" s="5">
        <f>HLOOKUP(F438,Fee_Reference!$B$1:$E$2,2,FALSE)</f>
        <v/>
      </c>
      <c r="N438">
        <f>SUMIFS($E$2:$E$548,$C$2:$C$548,C438,$I$2:$I$548,I438)</f>
        <v/>
      </c>
      <c r="O438">
        <f>IF(J438="Merchant not found","Merchant not found",IF(AND(N438&gt;5000,L438&lt;&gt;"East"),"High-Value Merchant Day","Normal Merchant Day"))</f>
        <v/>
      </c>
    </row>
    <row r="439">
      <c r="A439" t="inlineStr">
        <is>
          <t>TXN100437</t>
        </is>
      </c>
      <c r="B439" t="n">
        <v>214</v>
      </c>
      <c r="C439" t="n">
        <v>27</v>
      </c>
      <c r="D439" s="3" t="n">
        <v>46039.44722222222</v>
      </c>
      <c r="E439" t="n">
        <v>299</v>
      </c>
      <c r="F439" t="inlineStr">
        <is>
          <t>Card</t>
        </is>
      </c>
      <c r="G439" t="inlineStr">
        <is>
          <t>captured</t>
        </is>
      </c>
      <c r="H439" t="n">
        <v>19</v>
      </c>
      <c r="I439" s="4">
        <f>INT(D439)</f>
        <v/>
      </c>
      <c r="J439">
        <f>IFERROR(VLOOKUP(C439,Merchants!$A$2:$D$41,2,FALSE),"Merchant not found")</f>
        <v/>
      </c>
      <c r="K439">
        <f>IFERROR(VLOOKUP(C439,Merchants!$A$2:$D$41,3,FALSE),"Merchant not found")</f>
        <v/>
      </c>
      <c r="L439">
        <f>IFERROR(VLOOKUP(C439,Merchants!$A$2:$D$41,4,FALSE),"Merchant not found")</f>
        <v/>
      </c>
      <c r="M439" s="5">
        <f>HLOOKUP(F439,Fee_Reference!$B$1:$E$2,2,FALSE)</f>
        <v/>
      </c>
      <c r="N439">
        <f>SUMIFS($E$2:$E$548,$C$2:$C$548,C439,$I$2:$I$548,I439)</f>
        <v/>
      </c>
      <c r="O439">
        <f>IF(J439="Merchant not found","Merchant not found",IF(AND(N439&gt;5000,L439&lt;&gt;"East"),"High-Value Merchant Day","Normal Merchant Day"))</f>
        <v/>
      </c>
    </row>
    <row r="440">
      <c r="A440" t="inlineStr">
        <is>
          <t>TXN100438</t>
        </is>
      </c>
      <c r="B440" t="n">
        <v>276</v>
      </c>
      <c r="C440" t="n">
        <v>31</v>
      </c>
      <c r="D440" s="3" t="n">
        <v>46032.50763888889</v>
      </c>
      <c r="E440" t="n">
        <v>499</v>
      </c>
      <c r="F440" t="inlineStr">
        <is>
          <t>UPI</t>
        </is>
      </c>
      <c r="G440" t="inlineStr">
        <is>
          <t>captured</t>
        </is>
      </c>
      <c r="H440" t="n">
        <v>30</v>
      </c>
      <c r="I440" s="4">
        <f>INT(D440)</f>
        <v/>
      </c>
      <c r="J440">
        <f>IFERROR(VLOOKUP(C440,Merchants!$A$2:$D$41,2,FALSE),"Merchant not found")</f>
        <v/>
      </c>
      <c r="K440">
        <f>IFERROR(VLOOKUP(C440,Merchants!$A$2:$D$41,3,FALSE),"Merchant not found")</f>
        <v/>
      </c>
      <c r="L440">
        <f>IFERROR(VLOOKUP(C440,Merchants!$A$2:$D$41,4,FALSE),"Merchant not found")</f>
        <v/>
      </c>
      <c r="M440" s="5">
        <f>HLOOKUP(F440,Fee_Reference!$B$1:$E$2,2,FALSE)</f>
        <v/>
      </c>
      <c r="N440">
        <f>SUMIFS($E$2:$E$548,$C$2:$C$548,C440,$I$2:$I$548,I440)</f>
        <v/>
      </c>
      <c r="O440">
        <f>IF(J440="Merchant not found","Merchant not found",IF(AND(N440&gt;5000,L440&lt;&gt;"East"),"High-Value Merchant Day","Normal Merchant Day"))</f>
        <v/>
      </c>
    </row>
    <row r="441">
      <c r="A441" t="inlineStr">
        <is>
          <t>TXN100439</t>
        </is>
      </c>
      <c r="B441" t="n">
        <v>74</v>
      </c>
      <c r="C441" t="n">
        <v>30</v>
      </c>
      <c r="D441" s="3" t="n">
        <v>46050.30486111111</v>
      </c>
      <c r="E441" t="n">
        <v>49</v>
      </c>
      <c r="F441" t="inlineStr">
        <is>
          <t>UPI</t>
        </is>
      </c>
      <c r="G441" t="inlineStr">
        <is>
          <t>captured</t>
        </is>
      </c>
      <c r="H441" t="n">
        <v>7</v>
      </c>
      <c r="I441" s="4">
        <f>INT(D441)</f>
        <v/>
      </c>
      <c r="J441">
        <f>IFERROR(VLOOKUP(C441,Merchants!$A$2:$D$41,2,FALSE),"Merchant not found")</f>
        <v/>
      </c>
      <c r="K441">
        <f>IFERROR(VLOOKUP(C441,Merchants!$A$2:$D$41,3,FALSE),"Merchant not found")</f>
        <v/>
      </c>
      <c r="L441">
        <f>IFERROR(VLOOKUP(C441,Merchants!$A$2:$D$41,4,FALSE),"Merchant not found")</f>
        <v/>
      </c>
      <c r="M441" s="5">
        <f>HLOOKUP(F441,Fee_Reference!$B$1:$E$2,2,FALSE)</f>
        <v/>
      </c>
      <c r="N441">
        <f>SUMIFS($E$2:$E$548,$C$2:$C$548,C441,$I$2:$I$548,I441)</f>
        <v/>
      </c>
      <c r="O441">
        <f>IF(J441="Merchant not found","Merchant not found",IF(AND(N441&gt;5000,L441&lt;&gt;"East"),"High-Value Merchant Day","Normal Merchant Day"))</f>
        <v/>
      </c>
    </row>
    <row r="442">
      <c r="A442" t="inlineStr">
        <is>
          <t>TXN100440</t>
        </is>
      </c>
      <c r="B442" t="n">
        <v>286</v>
      </c>
      <c r="C442" t="n">
        <v>34</v>
      </c>
      <c r="D442" s="3" t="n">
        <v>46040.55972222222</v>
      </c>
      <c r="E442" t="n">
        <v>49</v>
      </c>
      <c r="F442" t="inlineStr">
        <is>
          <t>Card</t>
        </is>
      </c>
      <c r="G442" t="inlineStr">
        <is>
          <t>captured</t>
        </is>
      </c>
      <c r="H442" t="n">
        <v>17</v>
      </c>
      <c r="I442" s="4">
        <f>INT(D442)</f>
        <v/>
      </c>
      <c r="J442">
        <f>IFERROR(VLOOKUP(C442,Merchants!$A$2:$D$41,2,FALSE),"Merchant not found")</f>
        <v/>
      </c>
      <c r="K442">
        <f>IFERROR(VLOOKUP(C442,Merchants!$A$2:$D$41,3,FALSE),"Merchant not found")</f>
        <v/>
      </c>
      <c r="L442">
        <f>IFERROR(VLOOKUP(C442,Merchants!$A$2:$D$41,4,FALSE),"Merchant not found")</f>
        <v/>
      </c>
      <c r="M442" s="5">
        <f>HLOOKUP(F442,Fee_Reference!$B$1:$E$2,2,FALSE)</f>
        <v/>
      </c>
      <c r="N442">
        <f>SUMIFS($E$2:$E$548,$C$2:$C$548,C442,$I$2:$I$548,I442)</f>
        <v/>
      </c>
      <c r="O442">
        <f>IF(J442="Merchant not found","Merchant not found",IF(AND(N442&gt;5000,L442&lt;&gt;"East"),"High-Value Merchant Day","Normal Merchant Day"))</f>
        <v/>
      </c>
    </row>
    <row r="443">
      <c r="A443" t="inlineStr">
        <is>
          <t>TXN100441</t>
        </is>
      </c>
      <c r="B443" t="n">
        <v>105</v>
      </c>
      <c r="C443" t="n">
        <v>22</v>
      </c>
      <c r="D443" s="3" t="n">
        <v>46035.30277777778</v>
      </c>
      <c r="E443" t="n">
        <v>4999</v>
      </c>
      <c r="F443" t="inlineStr">
        <is>
          <t>UPI</t>
        </is>
      </c>
      <c r="G443" t="inlineStr">
        <is>
          <t>captured</t>
        </is>
      </c>
      <c r="H443" t="n">
        <v>82</v>
      </c>
      <c r="I443" s="4">
        <f>INT(D443)</f>
        <v/>
      </c>
      <c r="J443">
        <f>IFERROR(VLOOKUP(C443,Merchants!$A$2:$D$41,2,FALSE),"Merchant not found")</f>
        <v/>
      </c>
      <c r="K443">
        <f>IFERROR(VLOOKUP(C443,Merchants!$A$2:$D$41,3,FALSE),"Merchant not found")</f>
        <v/>
      </c>
      <c r="L443">
        <f>IFERROR(VLOOKUP(C443,Merchants!$A$2:$D$41,4,FALSE),"Merchant not found")</f>
        <v/>
      </c>
      <c r="M443" s="5">
        <f>HLOOKUP(F443,Fee_Reference!$B$1:$E$2,2,FALSE)</f>
        <v/>
      </c>
      <c r="N443">
        <f>SUMIFS($E$2:$E$548,$C$2:$C$548,C443,$I$2:$I$548,I443)</f>
        <v/>
      </c>
      <c r="O443">
        <f>IF(J443="Merchant not found","Merchant not found",IF(AND(N443&gt;5000,L443&lt;&gt;"East"),"High-Value Merchant Day","Normal Merchant Day"))</f>
        <v/>
      </c>
    </row>
    <row r="444">
      <c r="A444" t="inlineStr">
        <is>
          <t>TXN100442</t>
        </is>
      </c>
      <c r="B444" t="n">
        <v>190</v>
      </c>
      <c r="C444" t="n">
        <v>6</v>
      </c>
      <c r="D444" s="3" t="n">
        <v>46025.62083333333</v>
      </c>
      <c r="E444" t="n">
        <v>799</v>
      </c>
      <c r="F444" t="inlineStr">
        <is>
          <t>Wallet</t>
        </is>
      </c>
      <c r="G444" t="inlineStr">
        <is>
          <t>captured</t>
        </is>
      </c>
      <c r="H444" t="n">
        <v>68</v>
      </c>
      <c r="I444" s="4">
        <f>INT(D444)</f>
        <v/>
      </c>
      <c r="J444">
        <f>IFERROR(VLOOKUP(C444,Merchants!$A$2:$D$41,2,FALSE),"Merchant not found")</f>
        <v/>
      </c>
      <c r="K444">
        <f>IFERROR(VLOOKUP(C444,Merchants!$A$2:$D$41,3,FALSE),"Merchant not found")</f>
        <v/>
      </c>
      <c r="L444">
        <f>IFERROR(VLOOKUP(C444,Merchants!$A$2:$D$41,4,FALSE),"Merchant not found")</f>
        <v/>
      </c>
      <c r="M444" s="5">
        <f>HLOOKUP(F444,Fee_Reference!$B$1:$E$2,2,FALSE)</f>
        <v/>
      </c>
      <c r="N444">
        <f>SUMIFS($E$2:$E$548,$C$2:$C$548,C444,$I$2:$I$548,I444)</f>
        <v/>
      </c>
      <c r="O444">
        <f>IF(J444="Merchant not found","Merchant not found",IF(AND(N444&gt;5000,L444&lt;&gt;"East"),"High-Value Merchant Day","Normal Merchant Day"))</f>
        <v/>
      </c>
    </row>
    <row r="445">
      <c r="A445" t="inlineStr">
        <is>
          <t>TXN100443</t>
        </is>
      </c>
      <c r="B445" t="n">
        <v>138</v>
      </c>
      <c r="C445" t="n">
        <v>25</v>
      </c>
      <c r="D445" s="3" t="n">
        <v>46046.25208333333</v>
      </c>
      <c r="E445" t="n">
        <v>299</v>
      </c>
      <c r="F445" t="inlineStr">
        <is>
          <t>Wallet</t>
        </is>
      </c>
      <c r="G445" t="inlineStr">
        <is>
          <t>captured</t>
        </is>
      </c>
      <c r="H445" t="n">
        <v>86</v>
      </c>
      <c r="I445" s="4">
        <f>INT(D445)</f>
        <v/>
      </c>
      <c r="J445">
        <f>IFERROR(VLOOKUP(C445,Merchants!$A$2:$D$41,2,FALSE),"Merchant not found")</f>
        <v/>
      </c>
      <c r="K445">
        <f>IFERROR(VLOOKUP(C445,Merchants!$A$2:$D$41,3,FALSE),"Merchant not found")</f>
        <v/>
      </c>
      <c r="L445">
        <f>IFERROR(VLOOKUP(C445,Merchants!$A$2:$D$41,4,FALSE),"Merchant not found")</f>
        <v/>
      </c>
      <c r="M445" s="5">
        <f>HLOOKUP(F445,Fee_Reference!$B$1:$E$2,2,FALSE)</f>
        <v/>
      </c>
      <c r="N445">
        <f>SUMIFS($E$2:$E$548,$C$2:$C$548,C445,$I$2:$I$548,I445)</f>
        <v/>
      </c>
      <c r="O445">
        <f>IF(J445="Merchant not found","Merchant not found",IF(AND(N445&gt;5000,L445&lt;&gt;"East"),"High-Value Merchant Day","Normal Merchant Day"))</f>
        <v/>
      </c>
    </row>
    <row r="446">
      <c r="A446" t="inlineStr">
        <is>
          <t>TXN100444</t>
        </is>
      </c>
      <c r="B446" t="n">
        <v>38</v>
      </c>
      <c r="C446" t="n">
        <v>13</v>
      </c>
      <c r="D446" s="3" t="n">
        <v>46042.79305555556</v>
      </c>
      <c r="E446" t="n">
        <v>4999</v>
      </c>
      <c r="F446" t="inlineStr">
        <is>
          <t>Netbanking</t>
        </is>
      </c>
      <c r="G446" t="inlineStr">
        <is>
          <t>captured</t>
        </is>
      </c>
      <c r="H446" t="n">
        <v>97</v>
      </c>
      <c r="I446" s="4">
        <f>INT(D446)</f>
        <v/>
      </c>
      <c r="J446">
        <f>IFERROR(VLOOKUP(C446,Merchants!$A$2:$D$41,2,FALSE),"Merchant not found")</f>
        <v/>
      </c>
      <c r="K446">
        <f>IFERROR(VLOOKUP(C446,Merchants!$A$2:$D$41,3,FALSE),"Merchant not found")</f>
        <v/>
      </c>
      <c r="L446">
        <f>IFERROR(VLOOKUP(C446,Merchants!$A$2:$D$41,4,FALSE),"Merchant not found")</f>
        <v/>
      </c>
      <c r="M446" s="5">
        <f>HLOOKUP(F446,Fee_Reference!$B$1:$E$2,2,FALSE)</f>
        <v/>
      </c>
      <c r="N446">
        <f>SUMIFS($E$2:$E$548,$C$2:$C$548,C446,$I$2:$I$548,I446)</f>
        <v/>
      </c>
      <c r="O446">
        <f>IF(J446="Merchant not found","Merchant not found",IF(AND(N446&gt;5000,L446&lt;&gt;"East"),"High-Value Merchant Day","Normal Merchant Day"))</f>
        <v/>
      </c>
    </row>
    <row r="447">
      <c r="A447" t="inlineStr">
        <is>
          <t>TXN100445</t>
        </is>
      </c>
      <c r="B447" t="n">
        <v>287</v>
      </c>
      <c r="C447" t="n">
        <v>14</v>
      </c>
      <c r="D447" s="3" t="n">
        <v>46041.9875</v>
      </c>
      <c r="E447" t="n">
        <v>99</v>
      </c>
      <c r="F447" t="inlineStr">
        <is>
          <t>Wallet</t>
        </is>
      </c>
      <c r="G447" t="inlineStr">
        <is>
          <t>captured</t>
        </is>
      </c>
      <c r="H447" t="n">
        <v>61</v>
      </c>
      <c r="I447" s="4">
        <f>INT(D447)</f>
        <v/>
      </c>
      <c r="J447">
        <f>IFERROR(VLOOKUP(C447,Merchants!$A$2:$D$41,2,FALSE),"Merchant not found")</f>
        <v/>
      </c>
      <c r="K447">
        <f>IFERROR(VLOOKUP(C447,Merchants!$A$2:$D$41,3,FALSE),"Merchant not found")</f>
        <v/>
      </c>
      <c r="L447">
        <f>IFERROR(VLOOKUP(C447,Merchants!$A$2:$D$41,4,FALSE),"Merchant not found")</f>
        <v/>
      </c>
      <c r="M447" s="5">
        <f>HLOOKUP(F447,Fee_Reference!$B$1:$E$2,2,FALSE)</f>
        <v/>
      </c>
      <c r="N447">
        <f>SUMIFS($E$2:$E$548,$C$2:$C$548,C447,$I$2:$I$548,I447)</f>
        <v/>
      </c>
      <c r="O447">
        <f>IF(J447="Merchant not found","Merchant not found",IF(AND(N447&gt;5000,L447&lt;&gt;"East"),"High-Value Merchant Day","Normal Merchant Day"))</f>
        <v/>
      </c>
    </row>
    <row r="448">
      <c r="A448" t="inlineStr">
        <is>
          <t>TXN100446</t>
        </is>
      </c>
      <c r="B448" t="n">
        <v>8</v>
      </c>
      <c r="C448" t="n">
        <v>14</v>
      </c>
      <c r="D448" s="3" t="n">
        <v>46029.42986111111</v>
      </c>
      <c r="E448" t="n">
        <v>49</v>
      </c>
      <c r="F448" t="inlineStr">
        <is>
          <t>UPI</t>
        </is>
      </c>
      <c r="G448" t="inlineStr">
        <is>
          <t>captured</t>
        </is>
      </c>
      <c r="H448" t="n">
        <v>24</v>
      </c>
      <c r="I448" s="4">
        <f>INT(D448)</f>
        <v/>
      </c>
      <c r="J448">
        <f>IFERROR(VLOOKUP(C448,Merchants!$A$2:$D$41,2,FALSE),"Merchant not found")</f>
        <v/>
      </c>
      <c r="K448">
        <f>IFERROR(VLOOKUP(C448,Merchants!$A$2:$D$41,3,FALSE),"Merchant not found")</f>
        <v/>
      </c>
      <c r="L448">
        <f>IFERROR(VLOOKUP(C448,Merchants!$A$2:$D$41,4,FALSE),"Merchant not found")</f>
        <v/>
      </c>
      <c r="M448" s="5">
        <f>HLOOKUP(F448,Fee_Reference!$B$1:$E$2,2,FALSE)</f>
        <v/>
      </c>
      <c r="N448">
        <f>SUMIFS($E$2:$E$548,$C$2:$C$548,C448,$I$2:$I$548,I448)</f>
        <v/>
      </c>
      <c r="O448">
        <f>IF(J448="Merchant not found","Merchant not found",IF(AND(N448&gt;5000,L448&lt;&gt;"East"),"High-Value Merchant Day","Normal Merchant Day"))</f>
        <v/>
      </c>
    </row>
    <row r="449">
      <c r="A449" t="inlineStr">
        <is>
          <t>TXN100447</t>
        </is>
      </c>
      <c r="B449" t="n">
        <v>246</v>
      </c>
      <c r="C449" t="n">
        <v>16</v>
      </c>
      <c r="D449" s="3" t="n">
        <v>46046.15763888889</v>
      </c>
      <c r="E449" t="n">
        <v>1499</v>
      </c>
      <c r="F449" t="inlineStr">
        <is>
          <t>Wallet</t>
        </is>
      </c>
      <c r="G449" t="inlineStr">
        <is>
          <t>captured</t>
        </is>
      </c>
      <c r="H449" t="n">
        <v>89</v>
      </c>
      <c r="I449" s="4">
        <f>INT(D449)</f>
        <v/>
      </c>
      <c r="J449">
        <f>IFERROR(VLOOKUP(C449,Merchants!$A$2:$D$41,2,FALSE),"Merchant not found")</f>
        <v/>
      </c>
      <c r="K449">
        <f>IFERROR(VLOOKUP(C449,Merchants!$A$2:$D$41,3,FALSE),"Merchant not found")</f>
        <v/>
      </c>
      <c r="L449">
        <f>IFERROR(VLOOKUP(C449,Merchants!$A$2:$D$41,4,FALSE),"Merchant not found")</f>
        <v/>
      </c>
      <c r="M449" s="5">
        <f>HLOOKUP(F449,Fee_Reference!$B$1:$E$2,2,FALSE)</f>
        <v/>
      </c>
      <c r="N449">
        <f>SUMIFS($E$2:$E$548,$C$2:$C$548,C449,$I$2:$I$548,I449)</f>
        <v/>
      </c>
      <c r="O449">
        <f>IF(J449="Merchant not found","Merchant not found",IF(AND(N449&gt;5000,L449&lt;&gt;"East"),"High-Value Merchant Day","Normal Merchant Day"))</f>
        <v/>
      </c>
    </row>
    <row r="450">
      <c r="A450" t="inlineStr">
        <is>
          <t>TXN100448</t>
        </is>
      </c>
      <c r="B450" t="n">
        <v>204</v>
      </c>
      <c r="C450" t="n">
        <v>16</v>
      </c>
      <c r="D450" s="3" t="n">
        <v>46042.92569444444</v>
      </c>
      <c r="E450" t="n">
        <v>149</v>
      </c>
      <c r="F450" t="inlineStr">
        <is>
          <t>UPI</t>
        </is>
      </c>
      <c r="G450" t="inlineStr">
        <is>
          <t>captured</t>
        </is>
      </c>
      <c r="H450" t="n">
        <v>70</v>
      </c>
      <c r="I450" s="4">
        <f>INT(D450)</f>
        <v/>
      </c>
      <c r="J450">
        <f>IFERROR(VLOOKUP(C450,Merchants!$A$2:$D$41,2,FALSE),"Merchant not found")</f>
        <v/>
      </c>
      <c r="K450">
        <f>IFERROR(VLOOKUP(C450,Merchants!$A$2:$D$41,3,FALSE),"Merchant not found")</f>
        <v/>
      </c>
      <c r="L450">
        <f>IFERROR(VLOOKUP(C450,Merchants!$A$2:$D$41,4,FALSE),"Merchant not found")</f>
        <v/>
      </c>
      <c r="M450" s="5">
        <f>HLOOKUP(F450,Fee_Reference!$B$1:$E$2,2,FALSE)</f>
        <v/>
      </c>
      <c r="N450">
        <f>SUMIFS($E$2:$E$548,$C$2:$C$548,C450,$I$2:$I$548,I450)</f>
        <v/>
      </c>
      <c r="O450">
        <f>IF(J450="Merchant not found","Merchant not found",IF(AND(N450&gt;5000,L450&lt;&gt;"East"),"High-Value Merchant Day","Normal Merchant Day"))</f>
        <v/>
      </c>
    </row>
    <row r="451">
      <c r="A451" t="inlineStr">
        <is>
          <t>TXN100449</t>
        </is>
      </c>
      <c r="B451" t="n">
        <v>239</v>
      </c>
      <c r="C451" t="n">
        <v>35</v>
      </c>
      <c r="D451" s="3" t="n">
        <v>46033.39166666667</v>
      </c>
      <c r="E451" t="n">
        <v>4999</v>
      </c>
      <c r="F451" t="inlineStr">
        <is>
          <t>UPI</t>
        </is>
      </c>
      <c r="G451" t="inlineStr">
        <is>
          <t>captured</t>
        </is>
      </c>
      <c r="H451" t="n">
        <v>83</v>
      </c>
      <c r="I451" s="4">
        <f>INT(D451)</f>
        <v/>
      </c>
      <c r="J451">
        <f>IFERROR(VLOOKUP(C451,Merchants!$A$2:$D$41,2,FALSE),"Merchant not found")</f>
        <v/>
      </c>
      <c r="K451">
        <f>IFERROR(VLOOKUP(C451,Merchants!$A$2:$D$41,3,FALSE),"Merchant not found")</f>
        <v/>
      </c>
      <c r="L451">
        <f>IFERROR(VLOOKUP(C451,Merchants!$A$2:$D$41,4,FALSE),"Merchant not found")</f>
        <v/>
      </c>
      <c r="M451" s="5">
        <f>HLOOKUP(F451,Fee_Reference!$B$1:$E$2,2,FALSE)</f>
        <v/>
      </c>
      <c r="N451">
        <f>SUMIFS($E$2:$E$548,$C$2:$C$548,C451,$I$2:$I$548,I451)</f>
        <v/>
      </c>
      <c r="O451">
        <f>IF(J451="Merchant not found","Merchant not found",IF(AND(N451&gt;5000,L451&lt;&gt;"East"),"High-Value Merchant Day","Normal Merchant Day"))</f>
        <v/>
      </c>
    </row>
    <row r="452">
      <c r="A452" t="inlineStr">
        <is>
          <t>TXN100450</t>
        </is>
      </c>
      <c r="B452" t="n">
        <v>185</v>
      </c>
      <c r="C452" t="n">
        <v>33</v>
      </c>
      <c r="D452" s="3" t="n">
        <v>46034.38611111111</v>
      </c>
      <c r="E452" t="n">
        <v>299</v>
      </c>
      <c r="F452" t="inlineStr">
        <is>
          <t>UPI</t>
        </is>
      </c>
      <c r="G452" t="inlineStr">
        <is>
          <t>captured</t>
        </is>
      </c>
      <c r="H452" t="n">
        <v>63</v>
      </c>
      <c r="I452" s="4">
        <f>INT(D452)</f>
        <v/>
      </c>
      <c r="J452">
        <f>IFERROR(VLOOKUP(C452,Merchants!$A$2:$D$41,2,FALSE),"Merchant not found")</f>
        <v/>
      </c>
      <c r="K452">
        <f>IFERROR(VLOOKUP(C452,Merchants!$A$2:$D$41,3,FALSE),"Merchant not found")</f>
        <v/>
      </c>
      <c r="L452">
        <f>IFERROR(VLOOKUP(C452,Merchants!$A$2:$D$41,4,FALSE),"Merchant not found")</f>
        <v/>
      </c>
      <c r="M452" s="5">
        <f>HLOOKUP(F452,Fee_Reference!$B$1:$E$2,2,FALSE)</f>
        <v/>
      </c>
      <c r="N452">
        <f>SUMIFS($E$2:$E$548,$C$2:$C$548,C452,$I$2:$I$548,I452)</f>
        <v/>
      </c>
      <c r="O452">
        <f>IF(J452="Merchant not found","Merchant not found",IF(AND(N452&gt;5000,L452&lt;&gt;"East"),"High-Value Merchant Day","Normal Merchant Day"))</f>
        <v/>
      </c>
    </row>
    <row r="453">
      <c r="A453" t="inlineStr">
        <is>
          <t>TXN100451</t>
        </is>
      </c>
      <c r="B453" t="n">
        <v>241</v>
      </c>
      <c r="C453" t="n">
        <v>21</v>
      </c>
      <c r="D453" s="3" t="n">
        <v>46037.16041666667</v>
      </c>
      <c r="E453" t="n">
        <v>299</v>
      </c>
      <c r="F453" t="inlineStr">
        <is>
          <t>Card</t>
        </is>
      </c>
      <c r="G453" t="inlineStr">
        <is>
          <t>captured</t>
        </is>
      </c>
      <c r="H453" t="n">
        <v>26</v>
      </c>
      <c r="I453" s="4">
        <f>INT(D453)</f>
        <v/>
      </c>
      <c r="J453">
        <f>IFERROR(VLOOKUP(C453,Merchants!$A$2:$D$41,2,FALSE),"Merchant not found")</f>
        <v/>
      </c>
      <c r="K453">
        <f>IFERROR(VLOOKUP(C453,Merchants!$A$2:$D$41,3,FALSE),"Merchant not found")</f>
        <v/>
      </c>
      <c r="L453">
        <f>IFERROR(VLOOKUP(C453,Merchants!$A$2:$D$41,4,FALSE),"Merchant not found")</f>
        <v/>
      </c>
      <c r="M453" s="5">
        <f>HLOOKUP(F453,Fee_Reference!$B$1:$E$2,2,FALSE)</f>
        <v/>
      </c>
      <c r="N453">
        <f>SUMIFS($E$2:$E$548,$C$2:$C$548,C453,$I$2:$I$548,I453)</f>
        <v/>
      </c>
      <c r="O453">
        <f>IF(J453="Merchant not found","Merchant not found",IF(AND(N453&gt;5000,L453&lt;&gt;"East"),"High-Value Merchant Day","Normal Merchant Day"))</f>
        <v/>
      </c>
    </row>
    <row r="454">
      <c r="A454" t="inlineStr">
        <is>
          <t>TXN100452</t>
        </is>
      </c>
      <c r="B454" t="n">
        <v>24</v>
      </c>
      <c r="C454" t="n">
        <v>37</v>
      </c>
      <c r="D454" s="3" t="n">
        <v>46034.43472222222</v>
      </c>
      <c r="E454" t="n">
        <v>149</v>
      </c>
      <c r="F454" t="inlineStr">
        <is>
          <t>UPI</t>
        </is>
      </c>
      <c r="G454" t="inlineStr">
        <is>
          <t>captured</t>
        </is>
      </c>
      <c r="H454" t="n">
        <v>28</v>
      </c>
      <c r="I454" s="4">
        <f>INT(D454)</f>
        <v/>
      </c>
      <c r="J454">
        <f>IFERROR(VLOOKUP(C454,Merchants!$A$2:$D$41,2,FALSE),"Merchant not found")</f>
        <v/>
      </c>
      <c r="K454">
        <f>IFERROR(VLOOKUP(C454,Merchants!$A$2:$D$41,3,FALSE),"Merchant not found")</f>
        <v/>
      </c>
      <c r="L454">
        <f>IFERROR(VLOOKUP(C454,Merchants!$A$2:$D$41,4,FALSE),"Merchant not found")</f>
        <v/>
      </c>
      <c r="M454" s="5">
        <f>HLOOKUP(F454,Fee_Reference!$B$1:$E$2,2,FALSE)</f>
        <v/>
      </c>
      <c r="N454">
        <f>SUMIFS($E$2:$E$548,$C$2:$C$548,C454,$I$2:$I$548,I454)</f>
        <v/>
      </c>
      <c r="O454">
        <f>IF(J454="Merchant not found","Merchant not found",IF(AND(N454&gt;5000,L454&lt;&gt;"East"),"High-Value Merchant Day","Normal Merchant Day"))</f>
        <v/>
      </c>
    </row>
    <row r="455">
      <c r="A455" t="inlineStr">
        <is>
          <t>TXN100453</t>
        </is>
      </c>
      <c r="B455" t="n">
        <v>134</v>
      </c>
      <c r="C455" t="n">
        <v>36</v>
      </c>
      <c r="D455" s="3" t="n">
        <v>46046.16736111111</v>
      </c>
      <c r="E455" t="n">
        <v>1499</v>
      </c>
      <c r="F455" t="inlineStr">
        <is>
          <t>UPI</t>
        </is>
      </c>
      <c r="G455" t="inlineStr">
        <is>
          <t>captured</t>
        </is>
      </c>
      <c r="H455" t="n">
        <v>74</v>
      </c>
      <c r="I455" s="4">
        <f>INT(D455)</f>
        <v/>
      </c>
      <c r="J455">
        <f>IFERROR(VLOOKUP(C455,Merchants!$A$2:$D$41,2,FALSE),"Merchant not found")</f>
        <v/>
      </c>
      <c r="K455">
        <f>IFERROR(VLOOKUP(C455,Merchants!$A$2:$D$41,3,FALSE),"Merchant not found")</f>
        <v/>
      </c>
      <c r="L455">
        <f>IFERROR(VLOOKUP(C455,Merchants!$A$2:$D$41,4,FALSE),"Merchant not found")</f>
        <v/>
      </c>
      <c r="M455" s="5">
        <f>HLOOKUP(F455,Fee_Reference!$B$1:$E$2,2,FALSE)</f>
        <v/>
      </c>
      <c r="N455">
        <f>SUMIFS($E$2:$E$548,$C$2:$C$548,C455,$I$2:$I$548,I455)</f>
        <v/>
      </c>
      <c r="O455">
        <f>IF(J455="Merchant not found","Merchant not found",IF(AND(N455&gt;5000,L455&lt;&gt;"East"),"High-Value Merchant Day","Normal Merchant Day"))</f>
        <v/>
      </c>
    </row>
    <row r="456">
      <c r="A456" t="inlineStr">
        <is>
          <t>TXN100454</t>
        </is>
      </c>
      <c r="B456" t="n">
        <v>152</v>
      </c>
      <c r="C456" t="n">
        <v>10</v>
      </c>
      <c r="D456" s="3" t="n">
        <v>46041.97638888889</v>
      </c>
      <c r="E456" t="n">
        <v>499</v>
      </c>
      <c r="F456" t="inlineStr">
        <is>
          <t>Wallet</t>
        </is>
      </c>
      <c r="G456" t="inlineStr">
        <is>
          <t>captured</t>
        </is>
      </c>
      <c r="H456" t="n">
        <v>25</v>
      </c>
      <c r="I456" s="4">
        <f>INT(D456)</f>
        <v/>
      </c>
      <c r="J456">
        <f>IFERROR(VLOOKUP(C456,Merchants!$A$2:$D$41,2,FALSE),"Merchant not found")</f>
        <v/>
      </c>
      <c r="K456">
        <f>IFERROR(VLOOKUP(C456,Merchants!$A$2:$D$41,3,FALSE),"Merchant not found")</f>
        <v/>
      </c>
      <c r="L456">
        <f>IFERROR(VLOOKUP(C456,Merchants!$A$2:$D$41,4,FALSE),"Merchant not found")</f>
        <v/>
      </c>
      <c r="M456" s="5">
        <f>HLOOKUP(F456,Fee_Reference!$B$1:$E$2,2,FALSE)</f>
        <v/>
      </c>
      <c r="N456">
        <f>SUMIFS($E$2:$E$548,$C$2:$C$548,C456,$I$2:$I$548,I456)</f>
        <v/>
      </c>
      <c r="O456">
        <f>IF(J456="Merchant not found","Merchant not found",IF(AND(N456&gt;5000,L456&lt;&gt;"East"),"High-Value Merchant Day","Normal Merchant Day"))</f>
        <v/>
      </c>
    </row>
    <row r="457">
      <c r="A457" t="inlineStr">
        <is>
          <t>TXN100455</t>
        </is>
      </c>
      <c r="B457" t="n">
        <v>292</v>
      </c>
      <c r="C457" t="n">
        <v>16</v>
      </c>
      <c r="D457" s="3" t="n">
        <v>46033.30833333333</v>
      </c>
      <c r="E457" t="n">
        <v>499</v>
      </c>
      <c r="F457" t="inlineStr">
        <is>
          <t>Netbanking</t>
        </is>
      </c>
      <c r="G457" t="inlineStr">
        <is>
          <t>captured</t>
        </is>
      </c>
      <c r="H457" t="n">
        <v>63</v>
      </c>
      <c r="I457" s="4">
        <f>INT(D457)</f>
        <v/>
      </c>
      <c r="J457">
        <f>IFERROR(VLOOKUP(C457,Merchants!$A$2:$D$41,2,FALSE),"Merchant not found")</f>
        <v/>
      </c>
      <c r="K457">
        <f>IFERROR(VLOOKUP(C457,Merchants!$A$2:$D$41,3,FALSE),"Merchant not found")</f>
        <v/>
      </c>
      <c r="L457">
        <f>IFERROR(VLOOKUP(C457,Merchants!$A$2:$D$41,4,FALSE),"Merchant not found")</f>
        <v/>
      </c>
      <c r="M457" s="5">
        <f>HLOOKUP(F457,Fee_Reference!$B$1:$E$2,2,FALSE)</f>
        <v/>
      </c>
      <c r="N457">
        <f>SUMIFS($E$2:$E$548,$C$2:$C$548,C457,$I$2:$I$548,I457)</f>
        <v/>
      </c>
      <c r="O457">
        <f>IF(J457="Merchant not found","Merchant not found",IF(AND(N457&gt;5000,L457&lt;&gt;"East"),"High-Value Merchant Day","Normal Merchant Day"))</f>
        <v/>
      </c>
    </row>
    <row r="458">
      <c r="A458" t="inlineStr">
        <is>
          <t>TXN100456</t>
        </is>
      </c>
      <c r="B458" t="n">
        <v>173</v>
      </c>
      <c r="C458" t="n">
        <v>17</v>
      </c>
      <c r="D458" s="3" t="n">
        <v>46040.86319444444</v>
      </c>
      <c r="E458" t="n">
        <v>99</v>
      </c>
      <c r="F458" t="inlineStr">
        <is>
          <t>Netbanking</t>
        </is>
      </c>
      <c r="G458" t="inlineStr">
        <is>
          <t>captured</t>
        </is>
      </c>
      <c r="H458" t="n">
        <v>97</v>
      </c>
      <c r="I458" s="4">
        <f>INT(D458)</f>
        <v/>
      </c>
      <c r="J458">
        <f>IFERROR(VLOOKUP(C458,Merchants!$A$2:$D$41,2,FALSE),"Merchant not found")</f>
        <v/>
      </c>
      <c r="K458">
        <f>IFERROR(VLOOKUP(C458,Merchants!$A$2:$D$41,3,FALSE),"Merchant not found")</f>
        <v/>
      </c>
      <c r="L458">
        <f>IFERROR(VLOOKUP(C458,Merchants!$A$2:$D$41,4,FALSE),"Merchant not found")</f>
        <v/>
      </c>
      <c r="M458" s="5">
        <f>HLOOKUP(F458,Fee_Reference!$B$1:$E$2,2,FALSE)</f>
        <v/>
      </c>
      <c r="N458">
        <f>SUMIFS($E$2:$E$548,$C$2:$C$548,C458,$I$2:$I$548,I458)</f>
        <v/>
      </c>
      <c r="O458">
        <f>IF(J458="Merchant not found","Merchant not found",IF(AND(N458&gt;5000,L458&lt;&gt;"East"),"High-Value Merchant Day","Normal Merchant Day"))</f>
        <v/>
      </c>
    </row>
    <row r="459">
      <c r="A459" t="inlineStr">
        <is>
          <t>TXN100457</t>
        </is>
      </c>
      <c r="B459" t="n">
        <v>329</v>
      </c>
      <c r="C459" t="n">
        <v>32</v>
      </c>
      <c r="D459" s="3" t="n">
        <v>46049.65694444445</v>
      </c>
      <c r="E459" t="n">
        <v>1499</v>
      </c>
      <c r="F459" t="inlineStr">
        <is>
          <t>UPI</t>
        </is>
      </c>
      <c r="G459" t="inlineStr">
        <is>
          <t>captured</t>
        </is>
      </c>
      <c r="H459" t="n">
        <v>58</v>
      </c>
      <c r="I459" s="4">
        <f>INT(D459)</f>
        <v/>
      </c>
      <c r="J459">
        <f>IFERROR(VLOOKUP(C459,Merchants!$A$2:$D$41,2,FALSE),"Merchant not found")</f>
        <v/>
      </c>
      <c r="K459">
        <f>IFERROR(VLOOKUP(C459,Merchants!$A$2:$D$41,3,FALSE),"Merchant not found")</f>
        <v/>
      </c>
      <c r="L459">
        <f>IFERROR(VLOOKUP(C459,Merchants!$A$2:$D$41,4,FALSE),"Merchant not found")</f>
        <v/>
      </c>
      <c r="M459" s="5">
        <f>HLOOKUP(F459,Fee_Reference!$B$1:$E$2,2,FALSE)</f>
        <v/>
      </c>
      <c r="N459">
        <f>SUMIFS($E$2:$E$548,$C$2:$C$548,C459,$I$2:$I$548,I459)</f>
        <v/>
      </c>
      <c r="O459">
        <f>IF(J459="Merchant not found","Merchant not found",IF(AND(N459&gt;5000,L459&lt;&gt;"East"),"High-Value Merchant Day","Normal Merchant Day"))</f>
        <v/>
      </c>
    </row>
    <row r="460">
      <c r="A460" t="inlineStr">
        <is>
          <t>TXN100458</t>
        </is>
      </c>
      <c r="B460" t="n">
        <v>181</v>
      </c>
      <c r="C460" t="n">
        <v>11</v>
      </c>
      <c r="D460" s="3" t="n">
        <v>46028.99305555555</v>
      </c>
      <c r="E460" t="n">
        <v>1499</v>
      </c>
      <c r="F460" t="inlineStr">
        <is>
          <t>UPI</t>
        </is>
      </c>
      <c r="G460" t="inlineStr">
        <is>
          <t>captured</t>
        </is>
      </c>
      <c r="H460" t="n">
        <v>17</v>
      </c>
      <c r="I460" s="4">
        <f>INT(D460)</f>
        <v/>
      </c>
      <c r="J460">
        <f>IFERROR(VLOOKUP(C460,Merchants!$A$2:$D$41,2,FALSE),"Merchant not found")</f>
        <v/>
      </c>
      <c r="K460">
        <f>IFERROR(VLOOKUP(C460,Merchants!$A$2:$D$41,3,FALSE),"Merchant not found")</f>
        <v/>
      </c>
      <c r="L460">
        <f>IFERROR(VLOOKUP(C460,Merchants!$A$2:$D$41,4,FALSE),"Merchant not found")</f>
        <v/>
      </c>
      <c r="M460" s="5">
        <f>HLOOKUP(F460,Fee_Reference!$B$1:$E$2,2,FALSE)</f>
        <v/>
      </c>
      <c r="N460">
        <f>SUMIFS($E$2:$E$548,$C$2:$C$548,C460,$I$2:$I$548,I460)</f>
        <v/>
      </c>
      <c r="O460">
        <f>IF(J460="Merchant not found","Merchant not found",IF(AND(N460&gt;5000,L460&lt;&gt;"East"),"High-Value Merchant Day","Normal Merchant Day"))</f>
        <v/>
      </c>
    </row>
    <row r="461">
      <c r="A461" t="inlineStr">
        <is>
          <t>TXN100459</t>
        </is>
      </c>
      <c r="B461" t="n">
        <v>95</v>
      </c>
      <c r="C461" t="n">
        <v>35</v>
      </c>
      <c r="D461" s="3" t="n">
        <v>46046.72986111111</v>
      </c>
      <c r="E461" t="n">
        <v>149</v>
      </c>
      <c r="F461" t="inlineStr">
        <is>
          <t>Wallet</t>
        </is>
      </c>
      <c r="G461" t="inlineStr">
        <is>
          <t>captured</t>
        </is>
      </c>
      <c r="H461" t="n">
        <v>82</v>
      </c>
      <c r="I461" s="4">
        <f>INT(D461)</f>
        <v/>
      </c>
      <c r="J461">
        <f>IFERROR(VLOOKUP(C461,Merchants!$A$2:$D$41,2,FALSE),"Merchant not found")</f>
        <v/>
      </c>
      <c r="K461">
        <f>IFERROR(VLOOKUP(C461,Merchants!$A$2:$D$41,3,FALSE),"Merchant not found")</f>
        <v/>
      </c>
      <c r="L461">
        <f>IFERROR(VLOOKUP(C461,Merchants!$A$2:$D$41,4,FALSE),"Merchant not found")</f>
        <v/>
      </c>
      <c r="M461" s="5">
        <f>HLOOKUP(F461,Fee_Reference!$B$1:$E$2,2,FALSE)</f>
        <v/>
      </c>
      <c r="N461">
        <f>SUMIFS($E$2:$E$548,$C$2:$C$548,C461,$I$2:$I$548,I461)</f>
        <v/>
      </c>
      <c r="O461">
        <f>IF(J461="Merchant not found","Merchant not found",IF(AND(N461&gt;5000,L461&lt;&gt;"East"),"High-Value Merchant Day","Normal Merchant Day"))</f>
        <v/>
      </c>
    </row>
    <row r="462">
      <c r="A462" t="inlineStr">
        <is>
          <t>TXN100460</t>
        </is>
      </c>
      <c r="B462" t="n">
        <v>39</v>
      </c>
      <c r="C462" t="n">
        <v>4</v>
      </c>
      <c r="D462" s="3" t="n">
        <v>46024.66805555556</v>
      </c>
      <c r="E462" t="n">
        <v>149</v>
      </c>
      <c r="F462" t="inlineStr">
        <is>
          <t>Netbanking</t>
        </is>
      </c>
      <c r="G462" t="inlineStr">
        <is>
          <t>captured</t>
        </is>
      </c>
      <c r="H462" t="n">
        <v>97</v>
      </c>
      <c r="I462" s="4">
        <f>INT(D462)</f>
        <v/>
      </c>
      <c r="J462">
        <f>IFERROR(VLOOKUP(C462,Merchants!$A$2:$D$41,2,FALSE),"Merchant not found")</f>
        <v/>
      </c>
      <c r="K462">
        <f>IFERROR(VLOOKUP(C462,Merchants!$A$2:$D$41,3,FALSE),"Merchant not found")</f>
        <v/>
      </c>
      <c r="L462">
        <f>IFERROR(VLOOKUP(C462,Merchants!$A$2:$D$41,4,FALSE),"Merchant not found")</f>
        <v/>
      </c>
      <c r="M462" s="5">
        <f>HLOOKUP(F462,Fee_Reference!$B$1:$E$2,2,FALSE)</f>
        <v/>
      </c>
      <c r="N462">
        <f>SUMIFS($E$2:$E$548,$C$2:$C$548,C462,$I$2:$I$548,I462)</f>
        <v/>
      </c>
      <c r="O462">
        <f>IF(J462="Merchant not found","Merchant not found",IF(AND(N462&gt;5000,L462&lt;&gt;"East"),"High-Value Merchant Day","Normal Merchant Day"))</f>
        <v/>
      </c>
    </row>
    <row r="463">
      <c r="A463" t="inlineStr">
        <is>
          <t>TXN100461</t>
        </is>
      </c>
      <c r="B463" t="n">
        <v>323</v>
      </c>
      <c r="C463" t="n">
        <v>15</v>
      </c>
      <c r="D463" s="3" t="n">
        <v>46023.54722222222</v>
      </c>
      <c r="E463" t="n">
        <v>499</v>
      </c>
      <c r="F463" t="inlineStr">
        <is>
          <t>UPI</t>
        </is>
      </c>
      <c r="G463" t="inlineStr">
        <is>
          <t>captured</t>
        </is>
      </c>
      <c r="H463" t="n">
        <v>8</v>
      </c>
      <c r="I463" s="4">
        <f>INT(D463)</f>
        <v/>
      </c>
      <c r="J463">
        <f>IFERROR(VLOOKUP(C463,Merchants!$A$2:$D$41,2,FALSE),"Merchant not found")</f>
        <v/>
      </c>
      <c r="K463">
        <f>IFERROR(VLOOKUP(C463,Merchants!$A$2:$D$41,3,FALSE),"Merchant not found")</f>
        <v/>
      </c>
      <c r="L463">
        <f>IFERROR(VLOOKUP(C463,Merchants!$A$2:$D$41,4,FALSE),"Merchant not found")</f>
        <v/>
      </c>
      <c r="M463" s="5">
        <f>HLOOKUP(F463,Fee_Reference!$B$1:$E$2,2,FALSE)</f>
        <v/>
      </c>
      <c r="N463">
        <f>SUMIFS($E$2:$E$548,$C$2:$C$548,C463,$I$2:$I$548,I463)</f>
        <v/>
      </c>
      <c r="O463">
        <f>IF(J463="Merchant not found","Merchant not found",IF(AND(N463&gt;5000,L463&lt;&gt;"East"),"High-Value Merchant Day","Normal Merchant Day"))</f>
        <v/>
      </c>
    </row>
    <row r="464">
      <c r="A464" t="inlineStr">
        <is>
          <t>TXN100462</t>
        </is>
      </c>
      <c r="B464" t="n">
        <v>112</v>
      </c>
      <c r="C464" t="n">
        <v>33</v>
      </c>
      <c r="D464" s="3" t="n">
        <v>46045.16666666666</v>
      </c>
      <c r="E464" t="n">
        <v>49</v>
      </c>
      <c r="F464" t="inlineStr">
        <is>
          <t>Netbanking</t>
        </is>
      </c>
      <c r="G464" t="inlineStr">
        <is>
          <t>captured</t>
        </is>
      </c>
      <c r="H464" t="n">
        <v>58</v>
      </c>
      <c r="I464" s="4">
        <f>INT(D464)</f>
        <v/>
      </c>
      <c r="J464">
        <f>IFERROR(VLOOKUP(C464,Merchants!$A$2:$D$41,2,FALSE),"Merchant not found")</f>
        <v/>
      </c>
      <c r="K464">
        <f>IFERROR(VLOOKUP(C464,Merchants!$A$2:$D$41,3,FALSE),"Merchant not found")</f>
        <v/>
      </c>
      <c r="L464">
        <f>IFERROR(VLOOKUP(C464,Merchants!$A$2:$D$41,4,FALSE),"Merchant not found")</f>
        <v/>
      </c>
      <c r="M464" s="5">
        <f>HLOOKUP(F464,Fee_Reference!$B$1:$E$2,2,FALSE)</f>
        <v/>
      </c>
      <c r="N464">
        <f>SUMIFS($E$2:$E$548,$C$2:$C$548,C464,$I$2:$I$548,I464)</f>
        <v/>
      </c>
      <c r="O464">
        <f>IF(J464="Merchant not found","Merchant not found",IF(AND(N464&gt;5000,L464&lt;&gt;"East"),"High-Value Merchant Day","Normal Merchant Day"))</f>
        <v/>
      </c>
    </row>
    <row r="465">
      <c r="A465" t="inlineStr">
        <is>
          <t>TXN100463</t>
        </is>
      </c>
      <c r="B465" t="n">
        <v>327</v>
      </c>
      <c r="C465" t="n">
        <v>40</v>
      </c>
      <c r="D465" s="3" t="n">
        <v>46034.06875</v>
      </c>
      <c r="E465" t="n">
        <v>99</v>
      </c>
      <c r="F465" t="inlineStr">
        <is>
          <t>UPI</t>
        </is>
      </c>
      <c r="G465" t="inlineStr">
        <is>
          <t>captured</t>
        </is>
      </c>
      <c r="H465" t="n">
        <v>61</v>
      </c>
      <c r="I465" s="4">
        <f>INT(D465)</f>
        <v/>
      </c>
      <c r="J465">
        <f>IFERROR(VLOOKUP(C465,Merchants!$A$2:$D$41,2,FALSE),"Merchant not found")</f>
        <v/>
      </c>
      <c r="K465">
        <f>IFERROR(VLOOKUP(C465,Merchants!$A$2:$D$41,3,FALSE),"Merchant not found")</f>
        <v/>
      </c>
      <c r="L465">
        <f>IFERROR(VLOOKUP(C465,Merchants!$A$2:$D$41,4,FALSE),"Merchant not found")</f>
        <v/>
      </c>
      <c r="M465" s="5">
        <f>HLOOKUP(F465,Fee_Reference!$B$1:$E$2,2,FALSE)</f>
        <v/>
      </c>
      <c r="N465">
        <f>SUMIFS($E$2:$E$548,$C$2:$C$548,C465,$I$2:$I$548,I465)</f>
        <v/>
      </c>
      <c r="O465">
        <f>IF(J465="Merchant not found","Merchant not found",IF(AND(N465&gt;5000,L465&lt;&gt;"East"),"High-Value Merchant Day","Normal Merchant Day"))</f>
        <v/>
      </c>
    </row>
    <row r="466">
      <c r="A466" t="inlineStr">
        <is>
          <t>TXN100464</t>
        </is>
      </c>
      <c r="B466" t="n">
        <v>4</v>
      </c>
      <c r="C466" t="n">
        <v>35</v>
      </c>
      <c r="D466" s="3" t="n">
        <v>46044.62569444445</v>
      </c>
      <c r="E466" t="n">
        <v>299</v>
      </c>
      <c r="F466" t="inlineStr">
        <is>
          <t>UPI</t>
        </is>
      </c>
      <c r="G466" t="inlineStr">
        <is>
          <t>captured</t>
        </is>
      </c>
      <c r="H466" t="n">
        <v>70</v>
      </c>
      <c r="I466" s="4">
        <f>INT(D466)</f>
        <v/>
      </c>
      <c r="J466">
        <f>IFERROR(VLOOKUP(C466,Merchants!$A$2:$D$41,2,FALSE),"Merchant not found")</f>
        <v/>
      </c>
      <c r="K466">
        <f>IFERROR(VLOOKUP(C466,Merchants!$A$2:$D$41,3,FALSE),"Merchant not found")</f>
        <v/>
      </c>
      <c r="L466">
        <f>IFERROR(VLOOKUP(C466,Merchants!$A$2:$D$41,4,FALSE),"Merchant not found")</f>
        <v/>
      </c>
      <c r="M466" s="5">
        <f>HLOOKUP(F466,Fee_Reference!$B$1:$E$2,2,FALSE)</f>
        <v/>
      </c>
      <c r="N466">
        <f>SUMIFS($E$2:$E$548,$C$2:$C$548,C466,$I$2:$I$548,I466)</f>
        <v/>
      </c>
      <c r="O466">
        <f>IF(J466="Merchant not found","Merchant not found",IF(AND(N466&gt;5000,L466&lt;&gt;"East"),"High-Value Merchant Day","Normal Merchant Day"))</f>
        <v/>
      </c>
    </row>
    <row r="467">
      <c r="A467" t="inlineStr">
        <is>
          <t>TXN100465</t>
        </is>
      </c>
      <c r="B467" t="n">
        <v>272</v>
      </c>
      <c r="C467" t="n">
        <v>18</v>
      </c>
      <c r="D467" s="3" t="n">
        <v>46036.00069444445</v>
      </c>
      <c r="E467" t="n">
        <v>149</v>
      </c>
      <c r="F467" t="inlineStr">
        <is>
          <t>UPI</t>
        </is>
      </c>
      <c r="G467" t="inlineStr">
        <is>
          <t>captured</t>
        </is>
      </c>
      <c r="H467" t="n">
        <v>68</v>
      </c>
      <c r="I467" s="4">
        <f>INT(D467)</f>
        <v/>
      </c>
      <c r="J467">
        <f>IFERROR(VLOOKUP(C467,Merchants!$A$2:$D$41,2,FALSE),"Merchant not found")</f>
        <v/>
      </c>
      <c r="K467">
        <f>IFERROR(VLOOKUP(C467,Merchants!$A$2:$D$41,3,FALSE),"Merchant not found")</f>
        <v/>
      </c>
      <c r="L467">
        <f>IFERROR(VLOOKUP(C467,Merchants!$A$2:$D$41,4,FALSE),"Merchant not found")</f>
        <v/>
      </c>
      <c r="M467" s="5">
        <f>HLOOKUP(F467,Fee_Reference!$B$1:$E$2,2,FALSE)</f>
        <v/>
      </c>
      <c r="N467">
        <f>SUMIFS($E$2:$E$548,$C$2:$C$548,C467,$I$2:$I$548,I467)</f>
        <v/>
      </c>
      <c r="O467">
        <f>IF(J467="Merchant not found","Merchant not found",IF(AND(N467&gt;5000,L467&lt;&gt;"East"),"High-Value Merchant Day","Normal Merchant Day"))</f>
        <v/>
      </c>
    </row>
    <row r="468">
      <c r="A468" t="inlineStr">
        <is>
          <t>TXN100466</t>
        </is>
      </c>
      <c r="B468" t="n">
        <v>346</v>
      </c>
      <c r="C468" t="n">
        <v>28</v>
      </c>
      <c r="D468" s="3" t="n">
        <v>46032.02222222222</v>
      </c>
      <c r="E468" t="n">
        <v>499</v>
      </c>
      <c r="F468" t="inlineStr">
        <is>
          <t>UPI</t>
        </is>
      </c>
      <c r="G468" t="inlineStr">
        <is>
          <t>captured</t>
        </is>
      </c>
      <c r="H468" t="n">
        <v>22</v>
      </c>
      <c r="I468" s="4">
        <f>INT(D468)</f>
        <v/>
      </c>
      <c r="J468">
        <f>IFERROR(VLOOKUP(C468,Merchants!$A$2:$D$41,2,FALSE),"Merchant not found")</f>
        <v/>
      </c>
      <c r="K468">
        <f>IFERROR(VLOOKUP(C468,Merchants!$A$2:$D$41,3,FALSE),"Merchant not found")</f>
        <v/>
      </c>
      <c r="L468">
        <f>IFERROR(VLOOKUP(C468,Merchants!$A$2:$D$41,4,FALSE),"Merchant not found")</f>
        <v/>
      </c>
      <c r="M468" s="5">
        <f>HLOOKUP(F468,Fee_Reference!$B$1:$E$2,2,FALSE)</f>
        <v/>
      </c>
      <c r="N468">
        <f>SUMIFS($E$2:$E$548,$C$2:$C$548,C468,$I$2:$I$548,I468)</f>
        <v/>
      </c>
      <c r="O468">
        <f>IF(J468="Merchant not found","Merchant not found",IF(AND(N468&gt;5000,L468&lt;&gt;"East"),"High-Value Merchant Day","Normal Merchant Day"))</f>
        <v/>
      </c>
    </row>
    <row r="469">
      <c r="A469" t="inlineStr">
        <is>
          <t>TXN100467</t>
        </is>
      </c>
      <c r="B469" t="n">
        <v>77</v>
      </c>
      <c r="C469" t="n">
        <v>16</v>
      </c>
      <c r="D469" s="3" t="n">
        <v>46026.14791666667</v>
      </c>
      <c r="E469" t="n">
        <v>49</v>
      </c>
      <c r="F469" t="inlineStr">
        <is>
          <t>Wallet</t>
        </is>
      </c>
      <c r="G469" t="inlineStr">
        <is>
          <t>captured</t>
        </is>
      </c>
      <c r="H469" t="n">
        <v>24</v>
      </c>
      <c r="I469" s="4">
        <f>INT(D469)</f>
        <v/>
      </c>
      <c r="J469">
        <f>IFERROR(VLOOKUP(C469,Merchants!$A$2:$D$41,2,FALSE),"Merchant not found")</f>
        <v/>
      </c>
      <c r="K469">
        <f>IFERROR(VLOOKUP(C469,Merchants!$A$2:$D$41,3,FALSE),"Merchant not found")</f>
        <v/>
      </c>
      <c r="L469">
        <f>IFERROR(VLOOKUP(C469,Merchants!$A$2:$D$41,4,FALSE),"Merchant not found")</f>
        <v/>
      </c>
      <c r="M469" s="5">
        <f>HLOOKUP(F469,Fee_Reference!$B$1:$E$2,2,FALSE)</f>
        <v/>
      </c>
      <c r="N469">
        <f>SUMIFS($E$2:$E$548,$C$2:$C$548,C469,$I$2:$I$548,I469)</f>
        <v/>
      </c>
      <c r="O469">
        <f>IF(J469="Merchant not found","Merchant not found",IF(AND(N469&gt;5000,L469&lt;&gt;"East"),"High-Value Merchant Day","Normal Merchant Day"))</f>
        <v/>
      </c>
    </row>
    <row r="470">
      <c r="A470" t="inlineStr">
        <is>
          <t>TXN100468</t>
        </is>
      </c>
      <c r="B470" t="n">
        <v>182</v>
      </c>
      <c r="C470" t="n">
        <v>18</v>
      </c>
      <c r="D470" s="3" t="n">
        <v>46042.67777777778</v>
      </c>
      <c r="E470" t="n">
        <v>149</v>
      </c>
      <c r="F470" t="inlineStr">
        <is>
          <t>Card</t>
        </is>
      </c>
      <c r="G470" t="inlineStr">
        <is>
          <t>captured</t>
        </is>
      </c>
      <c r="H470" t="n">
        <v>50</v>
      </c>
      <c r="I470" s="4">
        <f>INT(D470)</f>
        <v/>
      </c>
      <c r="J470">
        <f>IFERROR(VLOOKUP(C470,Merchants!$A$2:$D$41,2,FALSE),"Merchant not found")</f>
        <v/>
      </c>
      <c r="K470">
        <f>IFERROR(VLOOKUP(C470,Merchants!$A$2:$D$41,3,FALSE),"Merchant not found")</f>
        <v/>
      </c>
      <c r="L470">
        <f>IFERROR(VLOOKUP(C470,Merchants!$A$2:$D$41,4,FALSE),"Merchant not found")</f>
        <v/>
      </c>
      <c r="M470" s="5">
        <f>HLOOKUP(F470,Fee_Reference!$B$1:$E$2,2,FALSE)</f>
        <v/>
      </c>
      <c r="N470">
        <f>SUMIFS($E$2:$E$548,$C$2:$C$548,C470,$I$2:$I$548,I470)</f>
        <v/>
      </c>
      <c r="O470">
        <f>IF(J470="Merchant not found","Merchant not found",IF(AND(N470&gt;5000,L470&lt;&gt;"East"),"High-Value Merchant Day","Normal Merchant Day"))</f>
        <v/>
      </c>
    </row>
    <row r="471">
      <c r="A471" t="inlineStr">
        <is>
          <t>TXN100469</t>
        </is>
      </c>
      <c r="B471" t="n">
        <v>236</v>
      </c>
      <c r="C471" t="n">
        <v>37</v>
      </c>
      <c r="D471" s="3" t="n">
        <v>46025.47569444445</v>
      </c>
      <c r="E471" t="n">
        <v>299</v>
      </c>
      <c r="F471" t="inlineStr">
        <is>
          <t>Card</t>
        </is>
      </c>
      <c r="G471" t="inlineStr">
        <is>
          <t>captured</t>
        </is>
      </c>
      <c r="H471" t="n">
        <v>31</v>
      </c>
      <c r="I471" s="4">
        <f>INT(D471)</f>
        <v/>
      </c>
      <c r="J471">
        <f>IFERROR(VLOOKUP(C471,Merchants!$A$2:$D$41,2,FALSE),"Merchant not found")</f>
        <v/>
      </c>
      <c r="K471">
        <f>IFERROR(VLOOKUP(C471,Merchants!$A$2:$D$41,3,FALSE),"Merchant not found")</f>
        <v/>
      </c>
      <c r="L471">
        <f>IFERROR(VLOOKUP(C471,Merchants!$A$2:$D$41,4,FALSE),"Merchant not found")</f>
        <v/>
      </c>
      <c r="M471" s="5">
        <f>HLOOKUP(F471,Fee_Reference!$B$1:$E$2,2,FALSE)</f>
        <v/>
      </c>
      <c r="N471">
        <f>SUMIFS($E$2:$E$548,$C$2:$C$548,C471,$I$2:$I$548,I471)</f>
        <v/>
      </c>
      <c r="O471">
        <f>IF(J471="Merchant not found","Merchant not found",IF(AND(N471&gt;5000,L471&lt;&gt;"East"),"High-Value Merchant Day","Normal Merchant Day"))</f>
        <v/>
      </c>
    </row>
    <row r="472">
      <c r="A472" t="inlineStr">
        <is>
          <t>TXN100470</t>
        </is>
      </c>
      <c r="B472" t="n">
        <v>42</v>
      </c>
      <c r="C472" t="n">
        <v>3</v>
      </c>
      <c r="D472" s="3" t="n">
        <v>46045.30486111111</v>
      </c>
      <c r="E472" t="n">
        <v>49</v>
      </c>
      <c r="F472" t="inlineStr">
        <is>
          <t>UPI</t>
        </is>
      </c>
      <c r="G472" t="inlineStr">
        <is>
          <t>captured</t>
        </is>
      </c>
      <c r="H472" t="n">
        <v>11</v>
      </c>
      <c r="I472" s="4">
        <f>INT(D472)</f>
        <v/>
      </c>
      <c r="J472">
        <f>IFERROR(VLOOKUP(C472,Merchants!$A$2:$D$41,2,FALSE),"Merchant not found")</f>
        <v/>
      </c>
      <c r="K472">
        <f>IFERROR(VLOOKUP(C472,Merchants!$A$2:$D$41,3,FALSE),"Merchant not found")</f>
        <v/>
      </c>
      <c r="L472">
        <f>IFERROR(VLOOKUP(C472,Merchants!$A$2:$D$41,4,FALSE),"Merchant not found")</f>
        <v/>
      </c>
      <c r="M472" s="5">
        <f>HLOOKUP(F472,Fee_Reference!$B$1:$E$2,2,FALSE)</f>
        <v/>
      </c>
      <c r="N472">
        <f>SUMIFS($E$2:$E$548,$C$2:$C$548,C472,$I$2:$I$548,I472)</f>
        <v/>
      </c>
      <c r="O472">
        <f>IF(J472="Merchant not found","Merchant not found",IF(AND(N472&gt;5000,L472&lt;&gt;"East"),"High-Value Merchant Day","Normal Merchant Day"))</f>
        <v/>
      </c>
    </row>
    <row r="473">
      <c r="A473" t="inlineStr">
        <is>
          <t>TXN100471</t>
        </is>
      </c>
      <c r="B473" t="n">
        <v>283</v>
      </c>
      <c r="C473" t="n">
        <v>31</v>
      </c>
      <c r="D473" s="3" t="n">
        <v>46035.51666666667</v>
      </c>
      <c r="E473" t="n">
        <v>299</v>
      </c>
      <c r="F473" t="inlineStr">
        <is>
          <t>Netbanking</t>
        </is>
      </c>
      <c r="G473" t="inlineStr">
        <is>
          <t>captured</t>
        </is>
      </c>
      <c r="H473" t="n">
        <v>7</v>
      </c>
      <c r="I473" s="4">
        <f>INT(D473)</f>
        <v/>
      </c>
      <c r="J473">
        <f>IFERROR(VLOOKUP(C473,Merchants!$A$2:$D$41,2,FALSE),"Merchant not found")</f>
        <v/>
      </c>
      <c r="K473">
        <f>IFERROR(VLOOKUP(C473,Merchants!$A$2:$D$41,3,FALSE),"Merchant not found")</f>
        <v/>
      </c>
      <c r="L473">
        <f>IFERROR(VLOOKUP(C473,Merchants!$A$2:$D$41,4,FALSE),"Merchant not found")</f>
        <v/>
      </c>
      <c r="M473" s="5">
        <f>HLOOKUP(F473,Fee_Reference!$B$1:$E$2,2,FALSE)</f>
        <v/>
      </c>
      <c r="N473">
        <f>SUMIFS($E$2:$E$548,$C$2:$C$548,C473,$I$2:$I$548,I473)</f>
        <v/>
      </c>
      <c r="O473">
        <f>IF(J473="Merchant not found","Merchant not found",IF(AND(N473&gt;5000,L473&lt;&gt;"East"),"High-Value Merchant Day","Normal Merchant Day"))</f>
        <v/>
      </c>
    </row>
    <row r="474">
      <c r="A474" t="inlineStr">
        <is>
          <t>TXN100472</t>
        </is>
      </c>
      <c r="B474" t="n">
        <v>88</v>
      </c>
      <c r="C474" t="n">
        <v>6</v>
      </c>
      <c r="D474" s="3" t="n">
        <v>46043.03055555555</v>
      </c>
      <c r="E474" t="n">
        <v>49</v>
      </c>
      <c r="F474" t="inlineStr">
        <is>
          <t>UPI</t>
        </is>
      </c>
      <c r="G474" t="inlineStr">
        <is>
          <t>captured</t>
        </is>
      </c>
      <c r="H474" t="n">
        <v>63</v>
      </c>
      <c r="I474" s="4">
        <f>INT(D474)</f>
        <v/>
      </c>
      <c r="J474">
        <f>IFERROR(VLOOKUP(C474,Merchants!$A$2:$D$41,2,FALSE),"Merchant not found")</f>
        <v/>
      </c>
      <c r="K474">
        <f>IFERROR(VLOOKUP(C474,Merchants!$A$2:$D$41,3,FALSE),"Merchant not found")</f>
        <v/>
      </c>
      <c r="L474">
        <f>IFERROR(VLOOKUP(C474,Merchants!$A$2:$D$41,4,FALSE),"Merchant not found")</f>
        <v/>
      </c>
      <c r="M474" s="5">
        <f>HLOOKUP(F474,Fee_Reference!$B$1:$E$2,2,FALSE)</f>
        <v/>
      </c>
      <c r="N474">
        <f>SUMIFS($E$2:$E$548,$C$2:$C$548,C474,$I$2:$I$548,I474)</f>
        <v/>
      </c>
      <c r="O474">
        <f>IF(J474="Merchant not found","Merchant not found",IF(AND(N474&gt;5000,L474&lt;&gt;"East"),"High-Value Merchant Day","Normal Merchant Day"))</f>
        <v/>
      </c>
    </row>
    <row r="475">
      <c r="A475" t="inlineStr">
        <is>
          <t>TXN100473</t>
        </is>
      </c>
      <c r="B475" t="n">
        <v>170</v>
      </c>
      <c r="C475" t="n">
        <v>37</v>
      </c>
      <c r="D475" s="3" t="n">
        <v>46050.57013888889</v>
      </c>
      <c r="E475" t="n">
        <v>99</v>
      </c>
      <c r="F475" t="inlineStr">
        <is>
          <t>UPI</t>
        </is>
      </c>
      <c r="G475" t="inlineStr">
        <is>
          <t>failed</t>
        </is>
      </c>
      <c r="H475" t="n">
        <v>12</v>
      </c>
      <c r="I475" s="4">
        <f>INT(D475)</f>
        <v/>
      </c>
      <c r="J475">
        <f>IFERROR(VLOOKUP(C475,Merchants!$A$2:$D$41,2,FALSE),"Merchant not found")</f>
        <v/>
      </c>
      <c r="K475">
        <f>IFERROR(VLOOKUP(C475,Merchants!$A$2:$D$41,3,FALSE),"Merchant not found")</f>
        <v/>
      </c>
      <c r="L475">
        <f>IFERROR(VLOOKUP(C475,Merchants!$A$2:$D$41,4,FALSE),"Merchant not found")</f>
        <v/>
      </c>
      <c r="M475" s="5">
        <f>HLOOKUP(F475,Fee_Reference!$B$1:$E$2,2,FALSE)</f>
        <v/>
      </c>
      <c r="N475">
        <f>SUMIFS($E$2:$E$548,$C$2:$C$548,C475,$I$2:$I$548,I475)</f>
        <v/>
      </c>
      <c r="O475">
        <f>IF(J475="Merchant not found","Merchant not found",IF(AND(N475&gt;5000,L475&lt;&gt;"East"),"High-Value Merchant Day","Normal Merchant Day"))</f>
        <v/>
      </c>
    </row>
    <row r="476">
      <c r="A476" t="inlineStr">
        <is>
          <t>TXN100474</t>
        </is>
      </c>
      <c r="B476" t="n">
        <v>22</v>
      </c>
      <c r="C476" t="n">
        <v>15</v>
      </c>
      <c r="D476" s="3" t="n">
        <v>46051.70694444444</v>
      </c>
      <c r="E476" t="n">
        <v>49</v>
      </c>
      <c r="F476" t="inlineStr">
        <is>
          <t>Netbanking</t>
        </is>
      </c>
      <c r="G476" t="inlineStr">
        <is>
          <t>captured</t>
        </is>
      </c>
      <c r="H476" t="n">
        <v>27</v>
      </c>
      <c r="I476" s="4">
        <f>INT(D476)</f>
        <v/>
      </c>
      <c r="J476">
        <f>IFERROR(VLOOKUP(C476,Merchants!$A$2:$D$41,2,FALSE),"Merchant not found")</f>
        <v/>
      </c>
      <c r="K476">
        <f>IFERROR(VLOOKUP(C476,Merchants!$A$2:$D$41,3,FALSE),"Merchant not found")</f>
        <v/>
      </c>
      <c r="L476">
        <f>IFERROR(VLOOKUP(C476,Merchants!$A$2:$D$41,4,FALSE),"Merchant not found")</f>
        <v/>
      </c>
      <c r="M476" s="5">
        <f>HLOOKUP(F476,Fee_Reference!$B$1:$E$2,2,FALSE)</f>
        <v/>
      </c>
      <c r="N476">
        <f>SUMIFS($E$2:$E$548,$C$2:$C$548,C476,$I$2:$I$548,I476)</f>
        <v/>
      </c>
      <c r="O476">
        <f>IF(J476="Merchant not found","Merchant not found",IF(AND(N476&gt;5000,L476&lt;&gt;"East"),"High-Value Merchant Day","Normal Merchant Day"))</f>
        <v/>
      </c>
    </row>
    <row r="477">
      <c r="A477" t="inlineStr">
        <is>
          <t>TXN100475</t>
        </is>
      </c>
      <c r="B477" t="n">
        <v>291</v>
      </c>
      <c r="C477" t="n">
        <v>31</v>
      </c>
      <c r="D477" s="3" t="n">
        <v>46051.95555555556</v>
      </c>
      <c r="E477" t="n">
        <v>49</v>
      </c>
      <c r="F477" t="inlineStr">
        <is>
          <t>Netbanking</t>
        </is>
      </c>
      <c r="G477" t="inlineStr">
        <is>
          <t>failed</t>
        </is>
      </c>
      <c r="H477" t="n">
        <v>34</v>
      </c>
      <c r="I477" s="4">
        <f>INT(D477)</f>
        <v/>
      </c>
      <c r="J477">
        <f>IFERROR(VLOOKUP(C477,Merchants!$A$2:$D$41,2,FALSE),"Merchant not found")</f>
        <v/>
      </c>
      <c r="K477">
        <f>IFERROR(VLOOKUP(C477,Merchants!$A$2:$D$41,3,FALSE),"Merchant not found")</f>
        <v/>
      </c>
      <c r="L477">
        <f>IFERROR(VLOOKUP(C477,Merchants!$A$2:$D$41,4,FALSE),"Merchant not found")</f>
        <v/>
      </c>
      <c r="M477" s="5">
        <f>HLOOKUP(F477,Fee_Reference!$B$1:$E$2,2,FALSE)</f>
        <v/>
      </c>
      <c r="N477">
        <f>SUMIFS($E$2:$E$548,$C$2:$C$548,C477,$I$2:$I$548,I477)</f>
        <v/>
      </c>
      <c r="O477">
        <f>IF(J477="Merchant not found","Merchant not found",IF(AND(N477&gt;5000,L477&lt;&gt;"East"),"High-Value Merchant Day","Normal Merchant Day"))</f>
        <v/>
      </c>
    </row>
    <row r="478">
      <c r="A478" t="inlineStr">
        <is>
          <t>TXN100476</t>
        </is>
      </c>
      <c r="B478" t="n">
        <v>144</v>
      </c>
      <c r="C478" t="n">
        <v>35</v>
      </c>
      <c r="D478" s="3" t="n">
        <v>46024.11319444444</v>
      </c>
      <c r="E478" t="n">
        <v>1499</v>
      </c>
      <c r="F478" t="inlineStr">
        <is>
          <t>UPI</t>
        </is>
      </c>
      <c r="G478" t="inlineStr">
        <is>
          <t>captured</t>
        </is>
      </c>
      <c r="H478" t="n">
        <v>72</v>
      </c>
      <c r="I478" s="4">
        <f>INT(D478)</f>
        <v/>
      </c>
      <c r="J478">
        <f>IFERROR(VLOOKUP(C478,Merchants!$A$2:$D$41,2,FALSE),"Merchant not found")</f>
        <v/>
      </c>
      <c r="K478">
        <f>IFERROR(VLOOKUP(C478,Merchants!$A$2:$D$41,3,FALSE),"Merchant not found")</f>
        <v/>
      </c>
      <c r="L478">
        <f>IFERROR(VLOOKUP(C478,Merchants!$A$2:$D$41,4,FALSE),"Merchant not found")</f>
        <v/>
      </c>
      <c r="M478" s="5">
        <f>HLOOKUP(F478,Fee_Reference!$B$1:$E$2,2,FALSE)</f>
        <v/>
      </c>
      <c r="N478">
        <f>SUMIFS($E$2:$E$548,$C$2:$C$548,C478,$I$2:$I$548,I478)</f>
        <v/>
      </c>
      <c r="O478">
        <f>IF(J478="Merchant not found","Merchant not found",IF(AND(N478&gt;5000,L478&lt;&gt;"East"),"High-Value Merchant Day","Normal Merchant Day"))</f>
        <v/>
      </c>
    </row>
    <row r="479">
      <c r="A479" t="inlineStr">
        <is>
          <t>TXN100477</t>
        </is>
      </c>
      <c r="B479" t="n">
        <v>162</v>
      </c>
      <c r="C479" t="n">
        <v>2</v>
      </c>
      <c r="D479" s="3" t="n">
        <v>46044.04930555556</v>
      </c>
      <c r="E479" t="n">
        <v>299</v>
      </c>
      <c r="F479" t="inlineStr">
        <is>
          <t>Wallet</t>
        </is>
      </c>
      <c r="G479" t="inlineStr">
        <is>
          <t>captured</t>
        </is>
      </c>
      <c r="H479" t="n">
        <v>26</v>
      </c>
      <c r="I479" s="4">
        <f>INT(D479)</f>
        <v/>
      </c>
      <c r="J479">
        <f>IFERROR(VLOOKUP(C479,Merchants!$A$2:$D$41,2,FALSE),"Merchant not found")</f>
        <v/>
      </c>
      <c r="K479">
        <f>IFERROR(VLOOKUP(C479,Merchants!$A$2:$D$41,3,FALSE),"Merchant not found")</f>
        <v/>
      </c>
      <c r="L479">
        <f>IFERROR(VLOOKUP(C479,Merchants!$A$2:$D$41,4,FALSE),"Merchant not found")</f>
        <v/>
      </c>
      <c r="M479" s="5">
        <f>HLOOKUP(F479,Fee_Reference!$B$1:$E$2,2,FALSE)</f>
        <v/>
      </c>
      <c r="N479">
        <f>SUMIFS($E$2:$E$548,$C$2:$C$548,C479,$I$2:$I$548,I479)</f>
        <v/>
      </c>
      <c r="O479">
        <f>IF(J479="Merchant not found","Merchant not found",IF(AND(N479&gt;5000,L479&lt;&gt;"East"),"High-Value Merchant Day","Normal Merchant Day"))</f>
        <v/>
      </c>
    </row>
    <row r="480">
      <c r="A480" t="inlineStr">
        <is>
          <t>TXN100478</t>
        </is>
      </c>
      <c r="B480" t="n">
        <v>204</v>
      </c>
      <c r="C480" t="n">
        <v>5</v>
      </c>
      <c r="D480" s="3" t="n">
        <v>46041.2</v>
      </c>
      <c r="E480" t="n">
        <v>49</v>
      </c>
      <c r="F480" t="inlineStr">
        <is>
          <t>UPI</t>
        </is>
      </c>
      <c r="G480" t="inlineStr">
        <is>
          <t>captured</t>
        </is>
      </c>
      <c r="H480" t="n">
        <v>38</v>
      </c>
      <c r="I480" s="4">
        <f>INT(D480)</f>
        <v/>
      </c>
      <c r="J480">
        <f>IFERROR(VLOOKUP(C480,Merchants!$A$2:$D$41,2,FALSE),"Merchant not found")</f>
        <v/>
      </c>
      <c r="K480">
        <f>IFERROR(VLOOKUP(C480,Merchants!$A$2:$D$41,3,FALSE),"Merchant not found")</f>
        <v/>
      </c>
      <c r="L480">
        <f>IFERROR(VLOOKUP(C480,Merchants!$A$2:$D$41,4,FALSE),"Merchant not found")</f>
        <v/>
      </c>
      <c r="M480" s="5">
        <f>HLOOKUP(F480,Fee_Reference!$B$1:$E$2,2,FALSE)</f>
        <v/>
      </c>
      <c r="N480">
        <f>SUMIFS($E$2:$E$548,$C$2:$C$548,C480,$I$2:$I$548,I480)</f>
        <v/>
      </c>
      <c r="O480">
        <f>IF(J480="Merchant not found","Merchant not found",IF(AND(N480&gt;5000,L480&lt;&gt;"East"),"High-Value Merchant Day","Normal Merchant Day"))</f>
        <v/>
      </c>
    </row>
    <row r="481">
      <c r="A481" t="inlineStr">
        <is>
          <t>TXN100479</t>
        </is>
      </c>
      <c r="B481" t="n">
        <v>291</v>
      </c>
      <c r="C481" t="n">
        <v>25</v>
      </c>
      <c r="D481" s="3" t="n">
        <v>46028.76041666666</v>
      </c>
      <c r="E481" t="n">
        <v>99</v>
      </c>
      <c r="F481" t="inlineStr">
        <is>
          <t>Wallet</t>
        </is>
      </c>
      <c r="G481" t="inlineStr">
        <is>
          <t>captured</t>
        </is>
      </c>
      <c r="H481" t="n">
        <v>86</v>
      </c>
      <c r="I481" s="4">
        <f>INT(D481)</f>
        <v/>
      </c>
      <c r="J481">
        <f>IFERROR(VLOOKUP(C481,Merchants!$A$2:$D$41,2,FALSE),"Merchant not found")</f>
        <v/>
      </c>
      <c r="K481">
        <f>IFERROR(VLOOKUP(C481,Merchants!$A$2:$D$41,3,FALSE),"Merchant not found")</f>
        <v/>
      </c>
      <c r="L481">
        <f>IFERROR(VLOOKUP(C481,Merchants!$A$2:$D$41,4,FALSE),"Merchant not found")</f>
        <v/>
      </c>
      <c r="M481" s="5">
        <f>HLOOKUP(F481,Fee_Reference!$B$1:$E$2,2,FALSE)</f>
        <v/>
      </c>
      <c r="N481">
        <f>SUMIFS($E$2:$E$548,$C$2:$C$548,C481,$I$2:$I$548,I481)</f>
        <v/>
      </c>
      <c r="O481">
        <f>IF(J481="Merchant not found","Merchant not found",IF(AND(N481&gt;5000,L481&lt;&gt;"East"),"High-Value Merchant Day","Normal Merchant Day"))</f>
        <v/>
      </c>
    </row>
    <row r="482">
      <c r="A482" t="inlineStr">
        <is>
          <t>TXN100480</t>
        </is>
      </c>
      <c r="B482" t="n">
        <v>197</v>
      </c>
      <c r="C482" t="n">
        <v>9</v>
      </c>
      <c r="D482" s="3" t="n">
        <v>46051.72291666667</v>
      </c>
      <c r="E482" t="n">
        <v>49</v>
      </c>
      <c r="F482" t="inlineStr">
        <is>
          <t>Wallet</t>
        </is>
      </c>
      <c r="G482" t="inlineStr">
        <is>
          <t>failed</t>
        </is>
      </c>
      <c r="H482" t="n">
        <v>88</v>
      </c>
      <c r="I482" s="4">
        <f>INT(D482)</f>
        <v/>
      </c>
      <c r="J482">
        <f>IFERROR(VLOOKUP(C482,Merchants!$A$2:$D$41,2,FALSE),"Merchant not found")</f>
        <v/>
      </c>
      <c r="K482">
        <f>IFERROR(VLOOKUP(C482,Merchants!$A$2:$D$41,3,FALSE),"Merchant not found")</f>
        <v/>
      </c>
      <c r="L482">
        <f>IFERROR(VLOOKUP(C482,Merchants!$A$2:$D$41,4,FALSE),"Merchant not found")</f>
        <v/>
      </c>
      <c r="M482" s="5">
        <f>HLOOKUP(F482,Fee_Reference!$B$1:$E$2,2,FALSE)</f>
        <v/>
      </c>
      <c r="N482">
        <f>SUMIFS($E$2:$E$548,$C$2:$C$548,C482,$I$2:$I$548,I482)</f>
        <v/>
      </c>
      <c r="O482">
        <f>IF(J482="Merchant not found","Merchant not found",IF(AND(N482&gt;5000,L482&lt;&gt;"East"),"High-Value Merchant Day","Normal Merchant Day"))</f>
        <v/>
      </c>
    </row>
    <row r="483">
      <c r="A483" t="inlineStr">
        <is>
          <t>TXN100481</t>
        </is>
      </c>
      <c r="B483" t="n">
        <v>178</v>
      </c>
      <c r="C483" t="n">
        <v>4</v>
      </c>
      <c r="D483" s="3" t="n">
        <v>46046.10555555556</v>
      </c>
      <c r="E483" t="n">
        <v>1499</v>
      </c>
      <c r="F483" t="inlineStr">
        <is>
          <t>UPI</t>
        </is>
      </c>
      <c r="G483" t="inlineStr">
        <is>
          <t>captured</t>
        </is>
      </c>
      <c r="H483" t="n">
        <v>12</v>
      </c>
      <c r="I483" s="4">
        <f>INT(D483)</f>
        <v/>
      </c>
      <c r="J483">
        <f>IFERROR(VLOOKUP(C483,Merchants!$A$2:$D$41,2,FALSE),"Merchant not found")</f>
        <v/>
      </c>
      <c r="K483">
        <f>IFERROR(VLOOKUP(C483,Merchants!$A$2:$D$41,3,FALSE),"Merchant not found")</f>
        <v/>
      </c>
      <c r="L483">
        <f>IFERROR(VLOOKUP(C483,Merchants!$A$2:$D$41,4,FALSE),"Merchant not found")</f>
        <v/>
      </c>
      <c r="M483" s="5">
        <f>HLOOKUP(F483,Fee_Reference!$B$1:$E$2,2,FALSE)</f>
        <v/>
      </c>
      <c r="N483">
        <f>SUMIFS($E$2:$E$548,$C$2:$C$548,C483,$I$2:$I$548,I483)</f>
        <v/>
      </c>
      <c r="O483">
        <f>IF(J483="Merchant not found","Merchant not found",IF(AND(N483&gt;5000,L483&lt;&gt;"East"),"High-Value Merchant Day","Normal Merchant Day"))</f>
        <v/>
      </c>
    </row>
    <row r="484">
      <c r="A484" t="inlineStr">
        <is>
          <t>TXN100482</t>
        </is>
      </c>
      <c r="B484" t="n">
        <v>39</v>
      </c>
      <c r="C484" t="n">
        <v>22</v>
      </c>
      <c r="D484" s="3" t="n">
        <v>46036.32847222222</v>
      </c>
      <c r="E484" t="n">
        <v>799</v>
      </c>
      <c r="F484" t="inlineStr">
        <is>
          <t>Netbanking</t>
        </is>
      </c>
      <c r="G484" t="inlineStr">
        <is>
          <t>captured</t>
        </is>
      </c>
      <c r="H484" t="n">
        <v>77</v>
      </c>
      <c r="I484" s="4">
        <f>INT(D484)</f>
        <v/>
      </c>
      <c r="J484">
        <f>IFERROR(VLOOKUP(C484,Merchants!$A$2:$D$41,2,FALSE),"Merchant not found")</f>
        <v/>
      </c>
      <c r="K484">
        <f>IFERROR(VLOOKUP(C484,Merchants!$A$2:$D$41,3,FALSE),"Merchant not found")</f>
        <v/>
      </c>
      <c r="L484">
        <f>IFERROR(VLOOKUP(C484,Merchants!$A$2:$D$41,4,FALSE),"Merchant not found")</f>
        <v/>
      </c>
      <c r="M484" s="5">
        <f>HLOOKUP(F484,Fee_Reference!$B$1:$E$2,2,FALSE)</f>
        <v/>
      </c>
      <c r="N484">
        <f>SUMIFS($E$2:$E$548,$C$2:$C$548,C484,$I$2:$I$548,I484)</f>
        <v/>
      </c>
      <c r="O484">
        <f>IF(J484="Merchant not found","Merchant not found",IF(AND(N484&gt;5000,L484&lt;&gt;"East"),"High-Value Merchant Day","Normal Merchant Day"))</f>
        <v/>
      </c>
    </row>
    <row r="485">
      <c r="A485" t="inlineStr">
        <is>
          <t>TXN100483</t>
        </is>
      </c>
      <c r="B485" t="n">
        <v>204</v>
      </c>
      <c r="C485" t="n">
        <v>21</v>
      </c>
      <c r="D485" s="3" t="n">
        <v>46047.81805555556</v>
      </c>
      <c r="E485" t="n">
        <v>299</v>
      </c>
      <c r="F485" t="inlineStr">
        <is>
          <t>Wallet</t>
        </is>
      </c>
      <c r="G485" t="inlineStr">
        <is>
          <t>captured</t>
        </is>
      </c>
      <c r="H485" t="n">
        <v>3</v>
      </c>
      <c r="I485" s="4">
        <f>INT(D485)</f>
        <v/>
      </c>
      <c r="J485">
        <f>IFERROR(VLOOKUP(C485,Merchants!$A$2:$D$41,2,FALSE),"Merchant not found")</f>
        <v/>
      </c>
      <c r="K485">
        <f>IFERROR(VLOOKUP(C485,Merchants!$A$2:$D$41,3,FALSE),"Merchant not found")</f>
        <v/>
      </c>
      <c r="L485">
        <f>IFERROR(VLOOKUP(C485,Merchants!$A$2:$D$41,4,FALSE),"Merchant not found")</f>
        <v/>
      </c>
      <c r="M485" s="5">
        <f>HLOOKUP(F485,Fee_Reference!$B$1:$E$2,2,FALSE)</f>
        <v/>
      </c>
      <c r="N485">
        <f>SUMIFS($E$2:$E$548,$C$2:$C$548,C485,$I$2:$I$548,I485)</f>
        <v/>
      </c>
      <c r="O485">
        <f>IF(J485="Merchant not found","Merchant not found",IF(AND(N485&gt;5000,L485&lt;&gt;"East"),"High-Value Merchant Day","Normal Merchant Day"))</f>
        <v/>
      </c>
    </row>
    <row r="486">
      <c r="A486" t="inlineStr">
        <is>
          <t>TXN100484</t>
        </is>
      </c>
      <c r="B486" t="n">
        <v>231</v>
      </c>
      <c r="C486" t="n">
        <v>32</v>
      </c>
      <c r="D486" s="3" t="n">
        <v>46043.36805555555</v>
      </c>
      <c r="E486" t="n">
        <v>299</v>
      </c>
      <c r="F486" t="inlineStr">
        <is>
          <t>UPI</t>
        </is>
      </c>
      <c r="G486" t="inlineStr">
        <is>
          <t>captured</t>
        </is>
      </c>
      <c r="H486" t="n">
        <v>29</v>
      </c>
      <c r="I486" s="4">
        <f>INT(D486)</f>
        <v/>
      </c>
      <c r="J486">
        <f>IFERROR(VLOOKUP(C486,Merchants!$A$2:$D$41,2,FALSE),"Merchant not found")</f>
        <v/>
      </c>
      <c r="K486">
        <f>IFERROR(VLOOKUP(C486,Merchants!$A$2:$D$41,3,FALSE),"Merchant not found")</f>
        <v/>
      </c>
      <c r="L486">
        <f>IFERROR(VLOOKUP(C486,Merchants!$A$2:$D$41,4,FALSE),"Merchant not found")</f>
        <v/>
      </c>
      <c r="M486" s="5">
        <f>HLOOKUP(F486,Fee_Reference!$B$1:$E$2,2,FALSE)</f>
        <v/>
      </c>
      <c r="N486">
        <f>SUMIFS($E$2:$E$548,$C$2:$C$548,C486,$I$2:$I$548,I486)</f>
        <v/>
      </c>
      <c r="O486">
        <f>IF(J486="Merchant not found","Merchant not found",IF(AND(N486&gt;5000,L486&lt;&gt;"East"),"High-Value Merchant Day","Normal Merchant Day"))</f>
        <v/>
      </c>
    </row>
    <row r="487">
      <c r="A487" t="inlineStr">
        <is>
          <t>TXN100485</t>
        </is>
      </c>
      <c r="B487" t="n">
        <v>222</v>
      </c>
      <c r="C487" t="n">
        <v>12</v>
      </c>
      <c r="D487" s="3" t="n">
        <v>46034.725</v>
      </c>
      <c r="E487" t="n">
        <v>499</v>
      </c>
      <c r="F487" t="inlineStr">
        <is>
          <t>Wallet</t>
        </is>
      </c>
      <c r="G487" t="inlineStr">
        <is>
          <t>failed</t>
        </is>
      </c>
      <c r="H487" t="n">
        <v>87</v>
      </c>
      <c r="I487" s="4">
        <f>INT(D487)</f>
        <v/>
      </c>
      <c r="J487">
        <f>IFERROR(VLOOKUP(C487,Merchants!$A$2:$D$41,2,FALSE),"Merchant not found")</f>
        <v/>
      </c>
      <c r="K487">
        <f>IFERROR(VLOOKUP(C487,Merchants!$A$2:$D$41,3,FALSE),"Merchant not found")</f>
        <v/>
      </c>
      <c r="L487">
        <f>IFERROR(VLOOKUP(C487,Merchants!$A$2:$D$41,4,FALSE),"Merchant not found")</f>
        <v/>
      </c>
      <c r="M487" s="5">
        <f>HLOOKUP(F487,Fee_Reference!$B$1:$E$2,2,FALSE)</f>
        <v/>
      </c>
      <c r="N487">
        <f>SUMIFS($E$2:$E$548,$C$2:$C$548,C487,$I$2:$I$548,I487)</f>
        <v/>
      </c>
      <c r="O487">
        <f>IF(J487="Merchant not found","Merchant not found",IF(AND(N487&gt;5000,L487&lt;&gt;"East"),"High-Value Merchant Day","Normal Merchant Day"))</f>
        <v/>
      </c>
    </row>
    <row r="488">
      <c r="A488" t="inlineStr">
        <is>
          <t>TXN100486</t>
        </is>
      </c>
      <c r="B488" t="n">
        <v>44</v>
      </c>
      <c r="C488" t="n">
        <v>40</v>
      </c>
      <c r="D488" s="3" t="n">
        <v>46041.89166666667</v>
      </c>
      <c r="E488" t="n">
        <v>499</v>
      </c>
      <c r="F488" t="inlineStr">
        <is>
          <t>UPI</t>
        </is>
      </c>
      <c r="G488" t="inlineStr">
        <is>
          <t>captured</t>
        </is>
      </c>
      <c r="H488" t="n">
        <v>37</v>
      </c>
      <c r="I488" s="4">
        <f>INT(D488)</f>
        <v/>
      </c>
      <c r="J488">
        <f>IFERROR(VLOOKUP(C488,Merchants!$A$2:$D$41,2,FALSE),"Merchant not found")</f>
        <v/>
      </c>
      <c r="K488">
        <f>IFERROR(VLOOKUP(C488,Merchants!$A$2:$D$41,3,FALSE),"Merchant not found")</f>
        <v/>
      </c>
      <c r="L488">
        <f>IFERROR(VLOOKUP(C488,Merchants!$A$2:$D$41,4,FALSE),"Merchant not found")</f>
        <v/>
      </c>
      <c r="M488" s="5">
        <f>HLOOKUP(F488,Fee_Reference!$B$1:$E$2,2,FALSE)</f>
        <v/>
      </c>
      <c r="N488">
        <f>SUMIFS($E$2:$E$548,$C$2:$C$548,C488,$I$2:$I$548,I488)</f>
        <v/>
      </c>
      <c r="O488">
        <f>IF(J488="Merchant not found","Merchant not found",IF(AND(N488&gt;5000,L488&lt;&gt;"East"),"High-Value Merchant Day","Normal Merchant Day"))</f>
        <v/>
      </c>
    </row>
    <row r="489">
      <c r="A489" t="inlineStr">
        <is>
          <t>TXN100487</t>
        </is>
      </c>
      <c r="B489" t="n">
        <v>38</v>
      </c>
      <c r="C489" t="n">
        <v>6</v>
      </c>
      <c r="D489" s="3" t="n">
        <v>46048.32291666666</v>
      </c>
      <c r="E489" t="n">
        <v>49</v>
      </c>
      <c r="F489" t="inlineStr">
        <is>
          <t>Wallet</t>
        </is>
      </c>
      <c r="G489" t="inlineStr">
        <is>
          <t>captured</t>
        </is>
      </c>
      <c r="H489" t="n">
        <v>34</v>
      </c>
      <c r="I489" s="4">
        <f>INT(D489)</f>
        <v/>
      </c>
      <c r="J489">
        <f>IFERROR(VLOOKUP(C489,Merchants!$A$2:$D$41,2,FALSE),"Merchant not found")</f>
        <v/>
      </c>
      <c r="K489">
        <f>IFERROR(VLOOKUP(C489,Merchants!$A$2:$D$41,3,FALSE),"Merchant not found")</f>
        <v/>
      </c>
      <c r="L489">
        <f>IFERROR(VLOOKUP(C489,Merchants!$A$2:$D$41,4,FALSE),"Merchant not found")</f>
        <v/>
      </c>
      <c r="M489" s="5">
        <f>HLOOKUP(F489,Fee_Reference!$B$1:$E$2,2,FALSE)</f>
        <v/>
      </c>
      <c r="N489">
        <f>SUMIFS($E$2:$E$548,$C$2:$C$548,C489,$I$2:$I$548,I489)</f>
        <v/>
      </c>
      <c r="O489">
        <f>IF(J489="Merchant not found","Merchant not found",IF(AND(N489&gt;5000,L489&lt;&gt;"East"),"High-Value Merchant Day","Normal Merchant Day"))</f>
        <v/>
      </c>
    </row>
    <row r="490">
      <c r="A490" t="inlineStr">
        <is>
          <t>TXN100488</t>
        </is>
      </c>
      <c r="B490" t="n">
        <v>325</v>
      </c>
      <c r="C490" t="n">
        <v>10</v>
      </c>
      <c r="D490" s="3" t="n">
        <v>46027.53125</v>
      </c>
      <c r="E490" t="n">
        <v>49</v>
      </c>
      <c r="F490" t="inlineStr">
        <is>
          <t>Netbanking</t>
        </is>
      </c>
      <c r="G490" t="inlineStr">
        <is>
          <t>chargeback</t>
        </is>
      </c>
      <c r="H490" t="n">
        <v>94</v>
      </c>
      <c r="I490" s="4">
        <f>INT(D490)</f>
        <v/>
      </c>
      <c r="J490">
        <f>IFERROR(VLOOKUP(C490,Merchants!$A$2:$D$41,2,FALSE),"Merchant not found")</f>
        <v/>
      </c>
      <c r="K490">
        <f>IFERROR(VLOOKUP(C490,Merchants!$A$2:$D$41,3,FALSE),"Merchant not found")</f>
        <v/>
      </c>
      <c r="L490">
        <f>IFERROR(VLOOKUP(C490,Merchants!$A$2:$D$41,4,FALSE),"Merchant not found")</f>
        <v/>
      </c>
      <c r="M490" s="5">
        <f>HLOOKUP(F490,Fee_Reference!$B$1:$E$2,2,FALSE)</f>
        <v/>
      </c>
      <c r="N490">
        <f>SUMIFS($E$2:$E$548,$C$2:$C$548,C490,$I$2:$I$548,I490)</f>
        <v/>
      </c>
      <c r="O490">
        <f>IF(J490="Merchant not found","Merchant not found",IF(AND(N490&gt;5000,L490&lt;&gt;"East"),"High-Value Merchant Day","Normal Merchant Day"))</f>
        <v/>
      </c>
    </row>
    <row r="491">
      <c r="A491" t="inlineStr">
        <is>
          <t>TXN100489</t>
        </is>
      </c>
      <c r="B491" t="n">
        <v>55</v>
      </c>
      <c r="C491" t="n">
        <v>6</v>
      </c>
      <c r="D491" s="3" t="n">
        <v>46035.43263888889</v>
      </c>
      <c r="E491" t="n">
        <v>1499</v>
      </c>
      <c r="F491" t="inlineStr">
        <is>
          <t>Card</t>
        </is>
      </c>
      <c r="G491" t="inlineStr">
        <is>
          <t>captured</t>
        </is>
      </c>
      <c r="H491" t="n">
        <v>0</v>
      </c>
      <c r="I491" s="4">
        <f>INT(D491)</f>
        <v/>
      </c>
      <c r="J491">
        <f>IFERROR(VLOOKUP(C491,Merchants!$A$2:$D$41,2,FALSE),"Merchant not found")</f>
        <v/>
      </c>
      <c r="K491">
        <f>IFERROR(VLOOKUP(C491,Merchants!$A$2:$D$41,3,FALSE),"Merchant not found")</f>
        <v/>
      </c>
      <c r="L491">
        <f>IFERROR(VLOOKUP(C491,Merchants!$A$2:$D$41,4,FALSE),"Merchant not found")</f>
        <v/>
      </c>
      <c r="M491" s="5">
        <f>HLOOKUP(F491,Fee_Reference!$B$1:$E$2,2,FALSE)</f>
        <v/>
      </c>
      <c r="N491">
        <f>SUMIFS($E$2:$E$548,$C$2:$C$548,C491,$I$2:$I$548,I491)</f>
        <v/>
      </c>
      <c r="O491">
        <f>IF(J491="Merchant not found","Merchant not found",IF(AND(N491&gt;5000,L491&lt;&gt;"East"),"High-Value Merchant Day","Normal Merchant Day"))</f>
        <v/>
      </c>
    </row>
    <row r="492">
      <c r="A492" t="inlineStr">
        <is>
          <t>TXN100490</t>
        </is>
      </c>
      <c r="B492" t="n">
        <v>139</v>
      </c>
      <c r="C492" t="n">
        <v>7</v>
      </c>
      <c r="D492" s="3" t="n">
        <v>46032.59930555556</v>
      </c>
      <c r="E492" t="n">
        <v>499</v>
      </c>
      <c r="F492" t="inlineStr">
        <is>
          <t>Card</t>
        </is>
      </c>
      <c r="G492" t="inlineStr">
        <is>
          <t>captured</t>
        </is>
      </c>
      <c r="H492" t="n">
        <v>16</v>
      </c>
      <c r="I492" s="4">
        <f>INT(D492)</f>
        <v/>
      </c>
      <c r="J492">
        <f>IFERROR(VLOOKUP(C492,Merchants!$A$2:$D$41,2,FALSE),"Merchant not found")</f>
        <v/>
      </c>
      <c r="K492">
        <f>IFERROR(VLOOKUP(C492,Merchants!$A$2:$D$41,3,FALSE),"Merchant not found")</f>
        <v/>
      </c>
      <c r="L492">
        <f>IFERROR(VLOOKUP(C492,Merchants!$A$2:$D$41,4,FALSE),"Merchant not found")</f>
        <v/>
      </c>
      <c r="M492" s="5">
        <f>HLOOKUP(F492,Fee_Reference!$B$1:$E$2,2,FALSE)</f>
        <v/>
      </c>
      <c r="N492">
        <f>SUMIFS($E$2:$E$548,$C$2:$C$548,C492,$I$2:$I$548,I492)</f>
        <v/>
      </c>
      <c r="O492">
        <f>IF(J492="Merchant not found","Merchant not found",IF(AND(N492&gt;5000,L492&lt;&gt;"East"),"High-Value Merchant Day","Normal Merchant Day"))</f>
        <v/>
      </c>
    </row>
    <row r="493">
      <c r="A493" t="inlineStr">
        <is>
          <t>TXN100491</t>
        </is>
      </c>
      <c r="B493" t="n">
        <v>230</v>
      </c>
      <c r="C493" t="n">
        <v>36</v>
      </c>
      <c r="D493" s="3" t="n">
        <v>46025.22708333333</v>
      </c>
      <c r="E493" t="n">
        <v>99</v>
      </c>
      <c r="F493" t="inlineStr">
        <is>
          <t>Wallet</t>
        </is>
      </c>
      <c r="G493" t="inlineStr">
        <is>
          <t>captured</t>
        </is>
      </c>
      <c r="H493" t="n">
        <v>71</v>
      </c>
      <c r="I493" s="4">
        <f>INT(D493)</f>
        <v/>
      </c>
      <c r="J493">
        <f>IFERROR(VLOOKUP(C493,Merchants!$A$2:$D$41,2,FALSE),"Merchant not found")</f>
        <v/>
      </c>
      <c r="K493">
        <f>IFERROR(VLOOKUP(C493,Merchants!$A$2:$D$41,3,FALSE),"Merchant not found")</f>
        <v/>
      </c>
      <c r="L493">
        <f>IFERROR(VLOOKUP(C493,Merchants!$A$2:$D$41,4,FALSE),"Merchant not found")</f>
        <v/>
      </c>
      <c r="M493" s="5">
        <f>HLOOKUP(F493,Fee_Reference!$B$1:$E$2,2,FALSE)</f>
        <v/>
      </c>
      <c r="N493">
        <f>SUMIFS($E$2:$E$548,$C$2:$C$548,C493,$I$2:$I$548,I493)</f>
        <v/>
      </c>
      <c r="O493">
        <f>IF(J493="Merchant not found","Merchant not found",IF(AND(N493&gt;5000,L493&lt;&gt;"East"),"High-Value Merchant Day","Normal Merchant Day"))</f>
        <v/>
      </c>
    </row>
    <row r="494">
      <c r="A494" t="inlineStr">
        <is>
          <t>TXN100492</t>
        </is>
      </c>
      <c r="B494" t="n">
        <v>14</v>
      </c>
      <c r="C494" t="n">
        <v>6</v>
      </c>
      <c r="D494" s="3" t="n">
        <v>46039.54583333333</v>
      </c>
      <c r="E494" t="n">
        <v>799</v>
      </c>
      <c r="F494" t="inlineStr">
        <is>
          <t>Card</t>
        </is>
      </c>
      <c r="G494" t="inlineStr">
        <is>
          <t>captured</t>
        </is>
      </c>
      <c r="H494" t="n">
        <v>45</v>
      </c>
      <c r="I494" s="4">
        <f>INT(D494)</f>
        <v/>
      </c>
      <c r="J494">
        <f>IFERROR(VLOOKUP(C494,Merchants!$A$2:$D$41,2,FALSE),"Merchant not found")</f>
        <v/>
      </c>
      <c r="K494">
        <f>IFERROR(VLOOKUP(C494,Merchants!$A$2:$D$41,3,FALSE),"Merchant not found")</f>
        <v/>
      </c>
      <c r="L494">
        <f>IFERROR(VLOOKUP(C494,Merchants!$A$2:$D$41,4,FALSE),"Merchant not found")</f>
        <v/>
      </c>
      <c r="M494" s="5">
        <f>HLOOKUP(F494,Fee_Reference!$B$1:$E$2,2,FALSE)</f>
        <v/>
      </c>
      <c r="N494">
        <f>SUMIFS($E$2:$E$548,$C$2:$C$548,C494,$I$2:$I$548,I494)</f>
        <v/>
      </c>
      <c r="O494">
        <f>IF(J494="Merchant not found","Merchant not found",IF(AND(N494&gt;5000,L494&lt;&gt;"East"),"High-Value Merchant Day","Normal Merchant Day"))</f>
        <v/>
      </c>
    </row>
    <row r="495">
      <c r="A495" t="inlineStr">
        <is>
          <t>TXN100493</t>
        </is>
      </c>
      <c r="B495" t="n">
        <v>307</v>
      </c>
      <c r="C495" t="n">
        <v>21</v>
      </c>
      <c r="D495" s="3" t="n">
        <v>46040.10972222222</v>
      </c>
      <c r="E495" t="n">
        <v>799</v>
      </c>
      <c r="F495" t="inlineStr">
        <is>
          <t>UPI</t>
        </is>
      </c>
      <c r="G495" t="inlineStr">
        <is>
          <t>captured</t>
        </is>
      </c>
      <c r="H495" t="n">
        <v>49</v>
      </c>
      <c r="I495" s="4">
        <f>INT(D495)</f>
        <v/>
      </c>
      <c r="J495">
        <f>IFERROR(VLOOKUP(C495,Merchants!$A$2:$D$41,2,FALSE),"Merchant not found")</f>
        <v/>
      </c>
      <c r="K495">
        <f>IFERROR(VLOOKUP(C495,Merchants!$A$2:$D$41,3,FALSE),"Merchant not found")</f>
        <v/>
      </c>
      <c r="L495">
        <f>IFERROR(VLOOKUP(C495,Merchants!$A$2:$D$41,4,FALSE),"Merchant not found")</f>
        <v/>
      </c>
      <c r="M495" s="5">
        <f>HLOOKUP(F495,Fee_Reference!$B$1:$E$2,2,FALSE)</f>
        <v/>
      </c>
      <c r="N495">
        <f>SUMIFS($E$2:$E$548,$C$2:$C$548,C495,$I$2:$I$548,I495)</f>
        <v/>
      </c>
      <c r="O495">
        <f>IF(J495="Merchant not found","Merchant not found",IF(AND(N495&gt;5000,L495&lt;&gt;"East"),"High-Value Merchant Day","Normal Merchant Day"))</f>
        <v/>
      </c>
    </row>
    <row r="496">
      <c r="A496" t="inlineStr">
        <is>
          <t>TXN100494</t>
        </is>
      </c>
      <c r="B496" t="n">
        <v>199</v>
      </c>
      <c r="C496" t="n">
        <v>6</v>
      </c>
      <c r="D496" s="3" t="n">
        <v>46023.39305555556</v>
      </c>
      <c r="E496" t="n">
        <v>49</v>
      </c>
      <c r="F496" t="inlineStr">
        <is>
          <t>UPI</t>
        </is>
      </c>
      <c r="G496" t="inlineStr">
        <is>
          <t>captured</t>
        </is>
      </c>
      <c r="H496" t="n">
        <v>92</v>
      </c>
      <c r="I496" s="4">
        <f>INT(D496)</f>
        <v/>
      </c>
      <c r="J496">
        <f>IFERROR(VLOOKUP(C496,Merchants!$A$2:$D$41,2,FALSE),"Merchant not found")</f>
        <v/>
      </c>
      <c r="K496">
        <f>IFERROR(VLOOKUP(C496,Merchants!$A$2:$D$41,3,FALSE),"Merchant not found")</f>
        <v/>
      </c>
      <c r="L496">
        <f>IFERROR(VLOOKUP(C496,Merchants!$A$2:$D$41,4,FALSE),"Merchant not found")</f>
        <v/>
      </c>
      <c r="M496" s="5">
        <f>HLOOKUP(F496,Fee_Reference!$B$1:$E$2,2,FALSE)</f>
        <v/>
      </c>
      <c r="N496">
        <f>SUMIFS($E$2:$E$548,$C$2:$C$548,C496,$I$2:$I$548,I496)</f>
        <v/>
      </c>
      <c r="O496">
        <f>IF(J496="Merchant not found","Merchant not found",IF(AND(N496&gt;5000,L496&lt;&gt;"East"),"High-Value Merchant Day","Normal Merchant Day"))</f>
        <v/>
      </c>
    </row>
    <row r="497">
      <c r="A497" t="inlineStr">
        <is>
          <t>TXN100495</t>
        </is>
      </c>
      <c r="B497" t="n">
        <v>125</v>
      </c>
      <c r="C497" t="n">
        <v>37</v>
      </c>
      <c r="D497" s="3" t="n">
        <v>46051.74791666667</v>
      </c>
      <c r="E497" t="n">
        <v>149</v>
      </c>
      <c r="F497" t="inlineStr">
        <is>
          <t>Wallet</t>
        </is>
      </c>
      <c r="G497" t="inlineStr">
        <is>
          <t>captured</t>
        </is>
      </c>
      <c r="H497" t="n">
        <v>66</v>
      </c>
      <c r="I497" s="4">
        <f>INT(D497)</f>
        <v/>
      </c>
      <c r="J497">
        <f>IFERROR(VLOOKUP(C497,Merchants!$A$2:$D$41,2,FALSE),"Merchant not found")</f>
        <v/>
      </c>
      <c r="K497">
        <f>IFERROR(VLOOKUP(C497,Merchants!$A$2:$D$41,3,FALSE),"Merchant not found")</f>
        <v/>
      </c>
      <c r="L497">
        <f>IFERROR(VLOOKUP(C497,Merchants!$A$2:$D$41,4,FALSE),"Merchant not found")</f>
        <v/>
      </c>
      <c r="M497" s="5">
        <f>HLOOKUP(F497,Fee_Reference!$B$1:$E$2,2,FALSE)</f>
        <v/>
      </c>
      <c r="N497">
        <f>SUMIFS($E$2:$E$548,$C$2:$C$548,C497,$I$2:$I$548,I497)</f>
        <v/>
      </c>
      <c r="O497">
        <f>IF(J497="Merchant not found","Merchant not found",IF(AND(N497&gt;5000,L497&lt;&gt;"East"),"High-Value Merchant Day","Normal Merchant Day"))</f>
        <v/>
      </c>
    </row>
    <row r="498">
      <c r="A498" t="inlineStr">
        <is>
          <t>TXN100496</t>
        </is>
      </c>
      <c r="B498" t="n">
        <v>87</v>
      </c>
      <c r="C498" t="n">
        <v>9</v>
      </c>
      <c r="D498" s="3" t="n">
        <v>46028.89166666667</v>
      </c>
      <c r="E498" t="n">
        <v>149</v>
      </c>
      <c r="F498" t="inlineStr">
        <is>
          <t>UPI</t>
        </is>
      </c>
      <c r="G498" t="inlineStr">
        <is>
          <t>captured</t>
        </is>
      </c>
      <c r="H498" t="n">
        <v>34</v>
      </c>
      <c r="I498" s="4">
        <f>INT(D498)</f>
        <v/>
      </c>
      <c r="J498">
        <f>IFERROR(VLOOKUP(C498,Merchants!$A$2:$D$41,2,FALSE),"Merchant not found")</f>
        <v/>
      </c>
      <c r="K498">
        <f>IFERROR(VLOOKUP(C498,Merchants!$A$2:$D$41,3,FALSE),"Merchant not found")</f>
        <v/>
      </c>
      <c r="L498">
        <f>IFERROR(VLOOKUP(C498,Merchants!$A$2:$D$41,4,FALSE),"Merchant not found")</f>
        <v/>
      </c>
      <c r="M498" s="5">
        <f>HLOOKUP(F498,Fee_Reference!$B$1:$E$2,2,FALSE)</f>
        <v/>
      </c>
      <c r="N498">
        <f>SUMIFS($E$2:$E$548,$C$2:$C$548,C498,$I$2:$I$548,I498)</f>
        <v/>
      </c>
      <c r="O498">
        <f>IF(J498="Merchant not found","Merchant not found",IF(AND(N498&gt;5000,L498&lt;&gt;"East"),"High-Value Merchant Day","Normal Merchant Day"))</f>
        <v/>
      </c>
    </row>
    <row r="499">
      <c r="A499" t="inlineStr">
        <is>
          <t>TXN100497</t>
        </is>
      </c>
      <c r="B499" t="n">
        <v>75</v>
      </c>
      <c r="C499" t="n">
        <v>5</v>
      </c>
      <c r="D499" s="3" t="n">
        <v>46032.35486111111</v>
      </c>
      <c r="E499" t="n">
        <v>99</v>
      </c>
      <c r="F499" t="inlineStr">
        <is>
          <t>UPI</t>
        </is>
      </c>
      <c r="G499" t="inlineStr">
        <is>
          <t>captured</t>
        </is>
      </c>
      <c r="H499" t="n">
        <v>21</v>
      </c>
      <c r="I499" s="4">
        <f>INT(D499)</f>
        <v/>
      </c>
      <c r="J499">
        <f>IFERROR(VLOOKUP(C499,Merchants!$A$2:$D$41,2,FALSE),"Merchant not found")</f>
        <v/>
      </c>
      <c r="K499">
        <f>IFERROR(VLOOKUP(C499,Merchants!$A$2:$D$41,3,FALSE),"Merchant not found")</f>
        <v/>
      </c>
      <c r="L499">
        <f>IFERROR(VLOOKUP(C499,Merchants!$A$2:$D$41,4,FALSE),"Merchant not found")</f>
        <v/>
      </c>
      <c r="M499" s="5">
        <f>HLOOKUP(F499,Fee_Reference!$B$1:$E$2,2,FALSE)</f>
        <v/>
      </c>
      <c r="N499">
        <f>SUMIFS($E$2:$E$548,$C$2:$C$548,C499,$I$2:$I$548,I499)</f>
        <v/>
      </c>
      <c r="O499">
        <f>IF(J499="Merchant not found","Merchant not found",IF(AND(N499&gt;5000,L499&lt;&gt;"East"),"High-Value Merchant Day","Normal Merchant Day"))</f>
        <v/>
      </c>
    </row>
    <row r="500">
      <c r="A500" t="inlineStr">
        <is>
          <t>TXN100498</t>
        </is>
      </c>
      <c r="B500" t="n">
        <v>154</v>
      </c>
      <c r="C500" t="n">
        <v>31</v>
      </c>
      <c r="D500" s="3" t="n">
        <v>46036.35138888889</v>
      </c>
      <c r="E500" t="n">
        <v>499</v>
      </c>
      <c r="F500" t="inlineStr">
        <is>
          <t>Wallet</t>
        </is>
      </c>
      <c r="G500" t="inlineStr">
        <is>
          <t>captured</t>
        </is>
      </c>
      <c r="H500" t="n">
        <v>100</v>
      </c>
      <c r="I500" s="4">
        <f>INT(D500)</f>
        <v/>
      </c>
      <c r="J500">
        <f>IFERROR(VLOOKUP(C500,Merchants!$A$2:$D$41,2,FALSE),"Merchant not found")</f>
        <v/>
      </c>
      <c r="K500">
        <f>IFERROR(VLOOKUP(C500,Merchants!$A$2:$D$41,3,FALSE),"Merchant not found")</f>
        <v/>
      </c>
      <c r="L500">
        <f>IFERROR(VLOOKUP(C500,Merchants!$A$2:$D$41,4,FALSE),"Merchant not found")</f>
        <v/>
      </c>
      <c r="M500" s="5">
        <f>HLOOKUP(F500,Fee_Reference!$B$1:$E$2,2,FALSE)</f>
        <v/>
      </c>
      <c r="N500">
        <f>SUMIFS($E$2:$E$548,$C$2:$C$548,C500,$I$2:$I$548,I500)</f>
        <v/>
      </c>
      <c r="O500">
        <f>IF(J500="Merchant not found","Merchant not found",IF(AND(N500&gt;5000,L500&lt;&gt;"East"),"High-Value Merchant Day","Normal Merchant Day"))</f>
        <v/>
      </c>
    </row>
    <row r="501">
      <c r="A501" t="inlineStr">
        <is>
          <t>TXN100499</t>
        </is>
      </c>
      <c r="B501" t="n">
        <v>127</v>
      </c>
      <c r="C501" t="n">
        <v>32</v>
      </c>
      <c r="D501" s="3" t="n">
        <v>46025.46944444445</v>
      </c>
      <c r="E501" t="n">
        <v>149</v>
      </c>
      <c r="F501" t="inlineStr">
        <is>
          <t>Card</t>
        </is>
      </c>
      <c r="G501" t="inlineStr">
        <is>
          <t>captured</t>
        </is>
      </c>
      <c r="H501" t="n">
        <v>76</v>
      </c>
      <c r="I501" s="4">
        <f>INT(D501)</f>
        <v/>
      </c>
      <c r="J501">
        <f>IFERROR(VLOOKUP(C501,Merchants!$A$2:$D$41,2,FALSE),"Merchant not found")</f>
        <v/>
      </c>
      <c r="K501">
        <f>IFERROR(VLOOKUP(C501,Merchants!$A$2:$D$41,3,FALSE),"Merchant not found")</f>
        <v/>
      </c>
      <c r="L501">
        <f>IFERROR(VLOOKUP(C501,Merchants!$A$2:$D$41,4,FALSE),"Merchant not found")</f>
        <v/>
      </c>
      <c r="M501" s="5">
        <f>HLOOKUP(F501,Fee_Reference!$B$1:$E$2,2,FALSE)</f>
        <v/>
      </c>
      <c r="N501">
        <f>SUMIFS($E$2:$E$548,$C$2:$C$548,C501,$I$2:$I$548,I501)</f>
        <v/>
      </c>
      <c r="O501">
        <f>IF(J501="Merchant not found","Merchant not found",IF(AND(N501&gt;5000,L501&lt;&gt;"East"),"High-Value Merchant Day","Normal Merchant Day"))</f>
        <v/>
      </c>
    </row>
    <row r="502">
      <c r="A502" t="inlineStr">
        <is>
          <t>TXN200000</t>
        </is>
      </c>
      <c r="B502" t="n">
        <v>351</v>
      </c>
      <c r="C502" t="n">
        <v>7</v>
      </c>
      <c r="D502" s="3" t="n">
        <v>46052.25</v>
      </c>
      <c r="E502" t="n">
        <v>1999</v>
      </c>
      <c r="F502" t="inlineStr">
        <is>
          <t>Card</t>
        </is>
      </c>
      <c r="G502" t="inlineStr">
        <is>
          <t>chargeback</t>
        </is>
      </c>
      <c r="H502" t="n">
        <v>79</v>
      </c>
      <c r="I502" s="4">
        <f>INT(D502)</f>
        <v/>
      </c>
      <c r="J502">
        <f>IFERROR(VLOOKUP(C502,Merchants!$A$2:$D$41,2,FALSE),"Merchant not found")</f>
        <v/>
      </c>
      <c r="K502">
        <f>IFERROR(VLOOKUP(C502,Merchants!$A$2:$D$41,3,FALSE),"Merchant not found")</f>
        <v/>
      </c>
      <c r="L502">
        <f>IFERROR(VLOOKUP(C502,Merchants!$A$2:$D$41,4,FALSE),"Merchant not found")</f>
        <v/>
      </c>
      <c r="M502" s="5">
        <f>HLOOKUP(F502,Fee_Reference!$B$1:$E$2,2,FALSE)</f>
        <v/>
      </c>
      <c r="N502">
        <f>SUMIFS($E$2:$E$548,$C$2:$C$548,C502,$I$2:$I$548,I502)</f>
        <v/>
      </c>
      <c r="O502">
        <f>IF(J502="Merchant not found","Merchant not found",IF(AND(N502&gt;5000,L502&lt;&gt;"East"),"High-Value Merchant Day","Normal Merchant Day"))</f>
        <v/>
      </c>
    </row>
    <row r="503">
      <c r="A503" t="inlineStr">
        <is>
          <t>TXN200001</t>
        </is>
      </c>
      <c r="B503" t="n">
        <v>352</v>
      </c>
      <c r="C503" t="n">
        <v>40</v>
      </c>
      <c r="D503" s="3" t="n">
        <v>46033.5</v>
      </c>
      <c r="E503" t="n">
        <v>4999</v>
      </c>
      <c r="F503" t="inlineStr">
        <is>
          <t>Card</t>
        </is>
      </c>
      <c r="G503" t="inlineStr">
        <is>
          <t>chargeback</t>
        </is>
      </c>
      <c r="H503" t="n">
        <v>95</v>
      </c>
      <c r="I503" s="4">
        <f>INT(D503)</f>
        <v/>
      </c>
      <c r="J503">
        <f>IFERROR(VLOOKUP(C503,Merchants!$A$2:$D$41,2,FALSE),"Merchant not found")</f>
        <v/>
      </c>
      <c r="K503">
        <f>IFERROR(VLOOKUP(C503,Merchants!$A$2:$D$41,3,FALSE),"Merchant not found")</f>
        <v/>
      </c>
      <c r="L503">
        <f>IFERROR(VLOOKUP(C503,Merchants!$A$2:$D$41,4,FALSE),"Merchant not found")</f>
        <v/>
      </c>
      <c r="M503" s="5">
        <f>HLOOKUP(F503,Fee_Reference!$B$1:$E$2,2,FALSE)</f>
        <v/>
      </c>
      <c r="N503">
        <f>SUMIFS($E$2:$E$548,$C$2:$C$548,C503,$I$2:$I$548,I503)</f>
        <v/>
      </c>
      <c r="O503">
        <f>IF(J503="Merchant not found","Merchant not found",IF(AND(N503&gt;5000,L503&lt;&gt;"East"),"High-Value Merchant Day","Normal Merchant Day"))</f>
        <v/>
      </c>
    </row>
    <row r="504">
      <c r="A504" t="inlineStr">
        <is>
          <t>TXN200002</t>
        </is>
      </c>
      <c r="B504" t="n">
        <v>353</v>
      </c>
      <c r="C504" t="n">
        <v>28</v>
      </c>
      <c r="D504" s="3" t="n">
        <v>46043.58333333334</v>
      </c>
      <c r="E504" t="n">
        <v>1999</v>
      </c>
      <c r="F504" t="inlineStr">
        <is>
          <t>Card</t>
        </is>
      </c>
      <c r="G504" t="inlineStr">
        <is>
          <t>chargeback</t>
        </is>
      </c>
      <c r="H504" t="n">
        <v>79</v>
      </c>
      <c r="I504" s="4">
        <f>INT(D504)</f>
        <v/>
      </c>
      <c r="J504">
        <f>IFERROR(VLOOKUP(C504,Merchants!$A$2:$D$41,2,FALSE),"Merchant not found")</f>
        <v/>
      </c>
      <c r="K504">
        <f>IFERROR(VLOOKUP(C504,Merchants!$A$2:$D$41,3,FALSE),"Merchant not found")</f>
        <v/>
      </c>
      <c r="L504">
        <f>IFERROR(VLOOKUP(C504,Merchants!$A$2:$D$41,4,FALSE),"Merchant not found")</f>
        <v/>
      </c>
      <c r="M504" s="5">
        <f>HLOOKUP(F504,Fee_Reference!$B$1:$E$2,2,FALSE)</f>
        <v/>
      </c>
      <c r="N504">
        <f>SUMIFS($E$2:$E$548,$C$2:$C$548,C504,$I$2:$I$548,I504)</f>
        <v/>
      </c>
      <c r="O504">
        <f>IF(J504="Merchant not found","Merchant not found",IF(AND(N504&gt;5000,L504&lt;&gt;"East"),"High-Value Merchant Day","Normal Merchant Day"))</f>
        <v/>
      </c>
    </row>
    <row r="505">
      <c r="A505" t="inlineStr">
        <is>
          <t>TXN200003</t>
        </is>
      </c>
      <c r="B505" t="n">
        <v>354</v>
      </c>
      <c r="C505" t="n">
        <v>13</v>
      </c>
      <c r="D505" s="3" t="n">
        <v>46043.79166666666</v>
      </c>
      <c r="E505" t="n">
        <v>4999</v>
      </c>
      <c r="F505" t="inlineStr">
        <is>
          <t>Card</t>
        </is>
      </c>
      <c r="G505" t="inlineStr">
        <is>
          <t>chargeback</t>
        </is>
      </c>
      <c r="H505" t="n">
        <v>80</v>
      </c>
      <c r="I505" s="4">
        <f>INT(D505)</f>
        <v/>
      </c>
      <c r="J505">
        <f>IFERROR(VLOOKUP(C505,Merchants!$A$2:$D$41,2,FALSE),"Merchant not found")</f>
        <v/>
      </c>
      <c r="K505">
        <f>IFERROR(VLOOKUP(C505,Merchants!$A$2:$D$41,3,FALSE),"Merchant not found")</f>
        <v/>
      </c>
      <c r="L505">
        <f>IFERROR(VLOOKUP(C505,Merchants!$A$2:$D$41,4,FALSE),"Merchant not found")</f>
        <v/>
      </c>
      <c r="M505" s="5">
        <f>HLOOKUP(F505,Fee_Reference!$B$1:$E$2,2,FALSE)</f>
        <v/>
      </c>
      <c r="N505">
        <f>SUMIFS($E$2:$E$548,$C$2:$C$548,C505,$I$2:$I$548,I505)</f>
        <v/>
      </c>
      <c r="O505">
        <f>IF(J505="Merchant not found","Merchant not found",IF(AND(N505&gt;5000,L505&lt;&gt;"East"),"High-Value Merchant Day","Normal Merchant Day"))</f>
        <v/>
      </c>
    </row>
    <row r="506">
      <c r="A506" t="inlineStr">
        <is>
          <t>TXN200004</t>
        </is>
      </c>
      <c r="B506" t="n">
        <v>355</v>
      </c>
      <c r="C506" t="n">
        <v>19</v>
      </c>
      <c r="D506" s="3" t="n">
        <v>46038.5</v>
      </c>
      <c r="E506" t="n">
        <v>4999</v>
      </c>
      <c r="F506" t="inlineStr">
        <is>
          <t>Card</t>
        </is>
      </c>
      <c r="G506" t="inlineStr">
        <is>
          <t>chargeback</t>
        </is>
      </c>
      <c r="H506" t="n">
        <v>100</v>
      </c>
      <c r="I506" s="4">
        <f>INT(D506)</f>
        <v/>
      </c>
      <c r="J506">
        <f>IFERROR(VLOOKUP(C506,Merchants!$A$2:$D$41,2,FALSE),"Merchant not found")</f>
        <v/>
      </c>
      <c r="K506">
        <f>IFERROR(VLOOKUP(C506,Merchants!$A$2:$D$41,3,FALSE),"Merchant not found")</f>
        <v/>
      </c>
      <c r="L506">
        <f>IFERROR(VLOOKUP(C506,Merchants!$A$2:$D$41,4,FALSE),"Merchant not found")</f>
        <v/>
      </c>
      <c r="M506" s="5">
        <f>HLOOKUP(F506,Fee_Reference!$B$1:$E$2,2,FALSE)</f>
        <v/>
      </c>
      <c r="N506">
        <f>SUMIFS($E$2:$E$548,$C$2:$C$548,C506,$I$2:$I$548,I506)</f>
        <v/>
      </c>
      <c r="O506">
        <f>IF(J506="Merchant not found","Merchant not found",IF(AND(N506&gt;5000,L506&lt;&gt;"East"),"High-Value Merchant Day","Normal Merchant Day"))</f>
        <v/>
      </c>
    </row>
    <row r="507">
      <c r="A507" t="inlineStr">
        <is>
          <t>TXN200005</t>
        </is>
      </c>
      <c r="B507" t="n">
        <v>356</v>
      </c>
      <c r="C507" t="n">
        <v>25</v>
      </c>
      <c r="D507" s="3" t="n">
        <v>46051.29166666666</v>
      </c>
      <c r="E507" t="n">
        <v>2999</v>
      </c>
      <c r="F507" t="inlineStr">
        <is>
          <t>Card</t>
        </is>
      </c>
      <c r="G507" t="inlineStr">
        <is>
          <t>chargeback</t>
        </is>
      </c>
      <c r="H507" t="n">
        <v>96</v>
      </c>
      <c r="I507" s="4">
        <f>INT(D507)</f>
        <v/>
      </c>
      <c r="J507">
        <f>IFERROR(VLOOKUP(C507,Merchants!$A$2:$D$41,2,FALSE),"Merchant not found")</f>
        <v/>
      </c>
      <c r="K507">
        <f>IFERROR(VLOOKUP(C507,Merchants!$A$2:$D$41,3,FALSE),"Merchant not found")</f>
        <v/>
      </c>
      <c r="L507">
        <f>IFERROR(VLOOKUP(C507,Merchants!$A$2:$D$41,4,FALSE),"Merchant not found")</f>
        <v/>
      </c>
      <c r="M507" s="5">
        <f>HLOOKUP(F507,Fee_Reference!$B$1:$E$2,2,FALSE)</f>
        <v/>
      </c>
      <c r="N507">
        <f>SUMIFS($E$2:$E$548,$C$2:$C$548,C507,$I$2:$I$548,I507)</f>
        <v/>
      </c>
      <c r="O507">
        <f>IF(J507="Merchant not found","Merchant not found",IF(AND(N507&gt;5000,L507&lt;&gt;"East"),"High-Value Merchant Day","Normal Merchant Day"))</f>
        <v/>
      </c>
    </row>
    <row r="508">
      <c r="A508" t="inlineStr">
        <is>
          <t>TXN200006</t>
        </is>
      </c>
      <c r="B508" t="n">
        <v>357</v>
      </c>
      <c r="C508" t="n">
        <v>37</v>
      </c>
      <c r="D508" s="3" t="n">
        <v>46045.45833333334</v>
      </c>
      <c r="E508" t="n">
        <v>1999</v>
      </c>
      <c r="F508" t="inlineStr">
        <is>
          <t>Card</t>
        </is>
      </c>
      <c r="G508" t="inlineStr">
        <is>
          <t>chargeback</t>
        </is>
      </c>
      <c r="H508" t="n">
        <v>88</v>
      </c>
      <c r="I508" s="4">
        <f>INT(D508)</f>
        <v/>
      </c>
      <c r="J508">
        <f>IFERROR(VLOOKUP(C508,Merchants!$A$2:$D$41,2,FALSE),"Merchant not found")</f>
        <v/>
      </c>
      <c r="K508">
        <f>IFERROR(VLOOKUP(C508,Merchants!$A$2:$D$41,3,FALSE),"Merchant not found")</f>
        <v/>
      </c>
      <c r="L508">
        <f>IFERROR(VLOOKUP(C508,Merchants!$A$2:$D$41,4,FALSE),"Merchant not found")</f>
        <v/>
      </c>
      <c r="M508" s="5">
        <f>HLOOKUP(F508,Fee_Reference!$B$1:$E$2,2,FALSE)</f>
        <v/>
      </c>
      <c r="N508">
        <f>SUMIFS($E$2:$E$548,$C$2:$C$548,C508,$I$2:$I$548,I508)</f>
        <v/>
      </c>
      <c r="O508">
        <f>IF(J508="Merchant not found","Merchant not found",IF(AND(N508&gt;5000,L508&lt;&gt;"East"),"High-Value Merchant Day","Normal Merchant Day"))</f>
        <v/>
      </c>
    </row>
    <row r="509">
      <c r="A509" t="inlineStr">
        <is>
          <t>TXN200007</t>
        </is>
      </c>
      <c r="B509" t="n">
        <v>358</v>
      </c>
      <c r="C509" t="n">
        <v>36</v>
      </c>
      <c r="D509" s="3" t="n">
        <v>46050.20833333334</v>
      </c>
      <c r="E509" t="n">
        <v>999</v>
      </c>
      <c r="F509" t="inlineStr">
        <is>
          <t>Card</t>
        </is>
      </c>
      <c r="G509" t="inlineStr">
        <is>
          <t>chargeback</t>
        </is>
      </c>
      <c r="H509" t="n">
        <v>100</v>
      </c>
      <c r="I509" s="4">
        <f>INT(D509)</f>
        <v/>
      </c>
      <c r="J509">
        <f>IFERROR(VLOOKUP(C509,Merchants!$A$2:$D$41,2,FALSE),"Merchant not found")</f>
        <v/>
      </c>
      <c r="K509">
        <f>IFERROR(VLOOKUP(C509,Merchants!$A$2:$D$41,3,FALSE),"Merchant not found")</f>
        <v/>
      </c>
      <c r="L509">
        <f>IFERROR(VLOOKUP(C509,Merchants!$A$2:$D$41,4,FALSE),"Merchant not found")</f>
        <v/>
      </c>
      <c r="M509" s="5">
        <f>HLOOKUP(F509,Fee_Reference!$B$1:$E$2,2,FALSE)</f>
        <v/>
      </c>
      <c r="N509">
        <f>SUMIFS($E$2:$E$548,$C$2:$C$548,C509,$I$2:$I$548,I509)</f>
        <v/>
      </c>
      <c r="O509">
        <f>IF(J509="Merchant not found","Merchant not found",IF(AND(N509&gt;5000,L509&lt;&gt;"East"),"High-Value Merchant Day","Normal Merchant Day"))</f>
        <v/>
      </c>
    </row>
    <row r="510">
      <c r="A510" t="inlineStr">
        <is>
          <t>TXN200008</t>
        </is>
      </c>
      <c r="B510" t="n">
        <v>359</v>
      </c>
      <c r="C510" t="n">
        <v>29</v>
      </c>
      <c r="D510" s="3" t="n">
        <v>46047.91666666666</v>
      </c>
      <c r="E510" t="n">
        <v>2999</v>
      </c>
      <c r="F510" t="inlineStr">
        <is>
          <t>Card</t>
        </is>
      </c>
      <c r="G510" t="inlineStr">
        <is>
          <t>chargeback</t>
        </is>
      </c>
      <c r="H510" t="n">
        <v>96</v>
      </c>
      <c r="I510" s="4">
        <f>INT(D510)</f>
        <v/>
      </c>
      <c r="J510">
        <f>IFERROR(VLOOKUP(C510,Merchants!$A$2:$D$41,2,FALSE),"Merchant not found")</f>
        <v/>
      </c>
      <c r="K510">
        <f>IFERROR(VLOOKUP(C510,Merchants!$A$2:$D$41,3,FALSE),"Merchant not found")</f>
        <v/>
      </c>
      <c r="L510">
        <f>IFERROR(VLOOKUP(C510,Merchants!$A$2:$D$41,4,FALSE),"Merchant not found")</f>
        <v/>
      </c>
      <c r="M510" s="5">
        <f>HLOOKUP(F510,Fee_Reference!$B$1:$E$2,2,FALSE)</f>
        <v/>
      </c>
      <c r="N510">
        <f>SUMIFS($E$2:$E$548,$C$2:$C$548,C510,$I$2:$I$548,I510)</f>
        <v/>
      </c>
      <c r="O510">
        <f>IF(J510="Merchant not found","Merchant not found",IF(AND(N510&gt;5000,L510&lt;&gt;"East"),"High-Value Merchant Day","Normal Merchant Day"))</f>
        <v/>
      </c>
    </row>
    <row r="511">
      <c r="A511" t="inlineStr">
        <is>
          <t>TXN200009</t>
        </is>
      </c>
      <c r="B511" t="n">
        <v>360</v>
      </c>
      <c r="C511" t="n">
        <v>32</v>
      </c>
      <c r="D511" s="3" t="n">
        <v>46035.54166666666</v>
      </c>
      <c r="E511" t="n">
        <v>1999</v>
      </c>
      <c r="F511" t="inlineStr">
        <is>
          <t>Card</t>
        </is>
      </c>
      <c r="G511" t="inlineStr">
        <is>
          <t>chargeback</t>
        </is>
      </c>
      <c r="H511" t="n">
        <v>90</v>
      </c>
      <c r="I511" s="4">
        <f>INT(D511)</f>
        <v/>
      </c>
      <c r="J511">
        <f>IFERROR(VLOOKUP(C511,Merchants!$A$2:$D$41,2,FALSE),"Merchant not found")</f>
        <v/>
      </c>
      <c r="K511">
        <f>IFERROR(VLOOKUP(C511,Merchants!$A$2:$D$41,3,FALSE),"Merchant not found")</f>
        <v/>
      </c>
      <c r="L511">
        <f>IFERROR(VLOOKUP(C511,Merchants!$A$2:$D$41,4,FALSE),"Merchant not found")</f>
        <v/>
      </c>
      <c r="M511" s="5">
        <f>HLOOKUP(F511,Fee_Reference!$B$1:$E$2,2,FALSE)</f>
        <v/>
      </c>
      <c r="N511">
        <f>SUMIFS($E$2:$E$548,$C$2:$C$548,C511,$I$2:$I$548,I511)</f>
        <v/>
      </c>
      <c r="O511">
        <f>IF(J511="Merchant not found","Merchant not found",IF(AND(N511&gt;5000,L511&lt;&gt;"East"),"High-Value Merchant Day","Normal Merchant Day"))</f>
        <v/>
      </c>
    </row>
    <row r="512">
      <c r="A512" t="inlineStr">
        <is>
          <t>TXN200010</t>
        </is>
      </c>
      <c r="B512" t="n">
        <v>361</v>
      </c>
      <c r="C512" t="n">
        <v>10</v>
      </c>
      <c r="D512" s="3" t="n">
        <v>46042.29166666666</v>
      </c>
      <c r="E512" t="n">
        <v>4999</v>
      </c>
      <c r="F512" t="inlineStr">
        <is>
          <t>Card</t>
        </is>
      </c>
      <c r="G512" t="inlineStr">
        <is>
          <t>chargeback</t>
        </is>
      </c>
      <c r="H512" t="n">
        <v>95</v>
      </c>
      <c r="I512" s="4">
        <f>INT(D512)</f>
        <v/>
      </c>
      <c r="J512">
        <f>IFERROR(VLOOKUP(C512,Merchants!$A$2:$D$41,2,FALSE),"Merchant not found")</f>
        <v/>
      </c>
      <c r="K512">
        <f>IFERROR(VLOOKUP(C512,Merchants!$A$2:$D$41,3,FALSE),"Merchant not found")</f>
        <v/>
      </c>
      <c r="L512">
        <f>IFERROR(VLOOKUP(C512,Merchants!$A$2:$D$41,4,FALSE),"Merchant not found")</f>
        <v/>
      </c>
      <c r="M512" s="5">
        <f>HLOOKUP(F512,Fee_Reference!$B$1:$E$2,2,FALSE)</f>
        <v/>
      </c>
      <c r="N512">
        <f>SUMIFS($E$2:$E$548,$C$2:$C$548,C512,$I$2:$I$548,I512)</f>
        <v/>
      </c>
      <c r="O512">
        <f>IF(J512="Merchant not found","Merchant not found",IF(AND(N512&gt;5000,L512&lt;&gt;"East"),"High-Value Merchant Day","Normal Merchant Day"))</f>
        <v/>
      </c>
    </row>
    <row r="513">
      <c r="A513" t="inlineStr">
        <is>
          <t>TXN200011</t>
        </is>
      </c>
      <c r="B513" t="n">
        <v>362</v>
      </c>
      <c r="C513" t="n">
        <v>39</v>
      </c>
      <c r="D513" s="3" t="n">
        <v>46045.08333333334</v>
      </c>
      <c r="E513" t="n">
        <v>4999</v>
      </c>
      <c r="F513" t="inlineStr">
        <is>
          <t>Card</t>
        </is>
      </c>
      <c r="G513" t="inlineStr">
        <is>
          <t>chargeback</t>
        </is>
      </c>
      <c r="H513" t="n">
        <v>88</v>
      </c>
      <c r="I513" s="4">
        <f>INT(D513)</f>
        <v/>
      </c>
      <c r="J513">
        <f>IFERROR(VLOOKUP(C513,Merchants!$A$2:$D$41,2,FALSE),"Merchant not found")</f>
        <v/>
      </c>
      <c r="K513">
        <f>IFERROR(VLOOKUP(C513,Merchants!$A$2:$D$41,3,FALSE),"Merchant not found")</f>
        <v/>
      </c>
      <c r="L513">
        <f>IFERROR(VLOOKUP(C513,Merchants!$A$2:$D$41,4,FALSE),"Merchant not found")</f>
        <v/>
      </c>
      <c r="M513" s="5">
        <f>HLOOKUP(F513,Fee_Reference!$B$1:$E$2,2,FALSE)</f>
        <v/>
      </c>
      <c r="N513">
        <f>SUMIFS($E$2:$E$548,$C$2:$C$548,C513,$I$2:$I$548,I513)</f>
        <v/>
      </c>
      <c r="O513">
        <f>IF(J513="Merchant not found","Merchant not found",IF(AND(N513&gt;5000,L513&lt;&gt;"East"),"High-Value Merchant Day","Normal Merchant Day"))</f>
        <v/>
      </c>
    </row>
    <row r="514">
      <c r="A514" t="inlineStr">
        <is>
          <t>TXN200012</t>
        </is>
      </c>
      <c r="B514" t="n">
        <v>363</v>
      </c>
      <c r="C514" t="n">
        <v>27</v>
      </c>
      <c r="D514" s="3" t="n">
        <v>46045.70833333334</v>
      </c>
      <c r="E514" t="n">
        <v>999</v>
      </c>
      <c r="F514" t="inlineStr">
        <is>
          <t>Card</t>
        </is>
      </c>
      <c r="G514" t="inlineStr">
        <is>
          <t>chargeback</t>
        </is>
      </c>
      <c r="H514" t="n">
        <v>95</v>
      </c>
      <c r="I514" s="4">
        <f>INT(D514)</f>
        <v/>
      </c>
      <c r="J514">
        <f>IFERROR(VLOOKUP(C514,Merchants!$A$2:$D$41,2,FALSE),"Merchant not found")</f>
        <v/>
      </c>
      <c r="K514">
        <f>IFERROR(VLOOKUP(C514,Merchants!$A$2:$D$41,3,FALSE),"Merchant not found")</f>
        <v/>
      </c>
      <c r="L514">
        <f>IFERROR(VLOOKUP(C514,Merchants!$A$2:$D$41,4,FALSE),"Merchant not found")</f>
        <v/>
      </c>
      <c r="M514" s="5">
        <f>HLOOKUP(F514,Fee_Reference!$B$1:$E$2,2,FALSE)</f>
        <v/>
      </c>
      <c r="N514">
        <f>SUMIFS($E$2:$E$548,$C$2:$C$548,C514,$I$2:$I$548,I514)</f>
        <v/>
      </c>
      <c r="O514">
        <f>IF(J514="Merchant not found","Merchant not found",IF(AND(N514&gt;5000,L514&lt;&gt;"East"),"High-Value Merchant Day","Normal Merchant Day"))</f>
        <v/>
      </c>
    </row>
    <row r="515">
      <c r="A515" t="inlineStr">
        <is>
          <t>TXN200013</t>
        </is>
      </c>
      <c r="B515" t="n">
        <v>364</v>
      </c>
      <c r="C515" t="n">
        <v>39</v>
      </c>
      <c r="D515" s="3" t="n">
        <v>46044.91666666666</v>
      </c>
      <c r="E515" t="n">
        <v>999</v>
      </c>
      <c r="F515" t="inlineStr">
        <is>
          <t>Card</t>
        </is>
      </c>
      <c r="G515" t="inlineStr">
        <is>
          <t>chargeback</t>
        </is>
      </c>
      <c r="H515" t="n">
        <v>73</v>
      </c>
      <c r="I515" s="4">
        <f>INT(D515)</f>
        <v/>
      </c>
      <c r="J515">
        <f>IFERROR(VLOOKUP(C515,Merchants!$A$2:$D$41,2,FALSE),"Merchant not found")</f>
        <v/>
      </c>
      <c r="K515">
        <f>IFERROR(VLOOKUP(C515,Merchants!$A$2:$D$41,3,FALSE),"Merchant not found")</f>
        <v/>
      </c>
      <c r="L515">
        <f>IFERROR(VLOOKUP(C515,Merchants!$A$2:$D$41,4,FALSE),"Merchant not found")</f>
        <v/>
      </c>
      <c r="M515" s="5">
        <f>HLOOKUP(F515,Fee_Reference!$B$1:$E$2,2,FALSE)</f>
        <v/>
      </c>
      <c r="N515">
        <f>SUMIFS($E$2:$E$548,$C$2:$C$548,C515,$I$2:$I$548,I515)</f>
        <v/>
      </c>
      <c r="O515">
        <f>IF(J515="Merchant not found","Merchant not found",IF(AND(N515&gt;5000,L515&lt;&gt;"East"),"High-Value Merchant Day","Normal Merchant Day"))</f>
        <v/>
      </c>
    </row>
    <row r="516">
      <c r="A516" t="inlineStr">
        <is>
          <t>TXN200014</t>
        </is>
      </c>
      <c r="B516" t="n">
        <v>365</v>
      </c>
      <c r="C516" t="n">
        <v>23</v>
      </c>
      <c r="D516" s="3" t="n">
        <v>46040.875</v>
      </c>
      <c r="E516" t="n">
        <v>1999</v>
      </c>
      <c r="F516" t="inlineStr">
        <is>
          <t>Card</t>
        </is>
      </c>
      <c r="G516" t="inlineStr">
        <is>
          <t>chargeback</t>
        </is>
      </c>
      <c r="H516" t="n">
        <v>90</v>
      </c>
      <c r="I516" s="4">
        <f>INT(D516)</f>
        <v/>
      </c>
      <c r="J516">
        <f>IFERROR(VLOOKUP(C516,Merchants!$A$2:$D$41,2,FALSE),"Merchant not found")</f>
        <v/>
      </c>
      <c r="K516">
        <f>IFERROR(VLOOKUP(C516,Merchants!$A$2:$D$41,3,FALSE),"Merchant not found")</f>
        <v/>
      </c>
      <c r="L516">
        <f>IFERROR(VLOOKUP(C516,Merchants!$A$2:$D$41,4,FALSE),"Merchant not found")</f>
        <v/>
      </c>
      <c r="M516" s="5">
        <f>HLOOKUP(F516,Fee_Reference!$B$1:$E$2,2,FALSE)</f>
        <v/>
      </c>
      <c r="N516">
        <f>SUMIFS($E$2:$E$548,$C$2:$C$548,C516,$I$2:$I$548,I516)</f>
        <v/>
      </c>
      <c r="O516">
        <f>IF(J516="Merchant not found","Merchant not found",IF(AND(N516&gt;5000,L516&lt;&gt;"East"),"High-Value Merchant Day","Normal Merchant Day"))</f>
        <v/>
      </c>
    </row>
    <row r="517">
      <c r="A517" t="inlineStr">
        <is>
          <t>TXN300000</t>
        </is>
      </c>
      <c r="B517" t="n">
        <v>314</v>
      </c>
      <c r="C517" t="n">
        <v>26</v>
      </c>
      <c r="D517" s="3" t="n">
        <v>46024.75</v>
      </c>
      <c r="E517" t="n">
        <v>399</v>
      </c>
      <c r="F517" t="inlineStr">
        <is>
          <t>Card</t>
        </is>
      </c>
      <c r="G517" t="inlineStr">
        <is>
          <t>failed</t>
        </is>
      </c>
      <c r="H517" t="n">
        <v>87</v>
      </c>
      <c r="I517" s="4">
        <f>INT(D517)</f>
        <v/>
      </c>
      <c r="J517">
        <f>IFERROR(VLOOKUP(C517,Merchants!$A$2:$D$41,2,FALSE),"Merchant not found")</f>
        <v/>
      </c>
      <c r="K517">
        <f>IFERROR(VLOOKUP(C517,Merchants!$A$2:$D$41,3,FALSE),"Merchant not found")</f>
        <v/>
      </c>
      <c r="L517">
        <f>IFERROR(VLOOKUP(C517,Merchants!$A$2:$D$41,4,FALSE),"Merchant not found")</f>
        <v/>
      </c>
      <c r="M517" s="5">
        <f>HLOOKUP(F517,Fee_Reference!$B$1:$E$2,2,FALSE)</f>
        <v/>
      </c>
      <c r="N517">
        <f>SUMIFS($E$2:$E$548,$C$2:$C$548,C517,$I$2:$I$548,I517)</f>
        <v/>
      </c>
      <c r="O517">
        <f>IF(J517="Merchant not found","Merchant not found",IF(AND(N517&gt;5000,L517&lt;&gt;"East"),"High-Value Merchant Day","Normal Merchant Day"))</f>
        <v/>
      </c>
    </row>
    <row r="518">
      <c r="A518" t="inlineStr">
        <is>
          <t>TXN300001</t>
        </is>
      </c>
      <c r="B518" t="n">
        <v>314</v>
      </c>
      <c r="C518" t="n">
        <v>7</v>
      </c>
      <c r="D518" s="3" t="n">
        <v>46024.75069444445</v>
      </c>
      <c r="E518" t="n">
        <v>299</v>
      </c>
      <c r="F518" t="inlineStr">
        <is>
          <t>Card</t>
        </is>
      </c>
      <c r="G518" t="inlineStr">
        <is>
          <t>failed</t>
        </is>
      </c>
      <c r="H518" t="n">
        <v>66</v>
      </c>
      <c r="I518" s="4">
        <f>INT(D518)</f>
        <v/>
      </c>
      <c r="J518">
        <f>IFERROR(VLOOKUP(C518,Merchants!$A$2:$D$41,2,FALSE),"Merchant not found")</f>
        <v/>
      </c>
      <c r="K518">
        <f>IFERROR(VLOOKUP(C518,Merchants!$A$2:$D$41,3,FALSE),"Merchant not found")</f>
        <v/>
      </c>
      <c r="L518">
        <f>IFERROR(VLOOKUP(C518,Merchants!$A$2:$D$41,4,FALSE),"Merchant not found")</f>
        <v/>
      </c>
      <c r="M518" s="5">
        <f>HLOOKUP(F518,Fee_Reference!$B$1:$E$2,2,FALSE)</f>
        <v/>
      </c>
      <c r="N518">
        <f>SUMIFS($E$2:$E$548,$C$2:$C$548,C518,$I$2:$I$548,I518)</f>
        <v/>
      </c>
      <c r="O518">
        <f>IF(J518="Merchant not found","Merchant not found",IF(AND(N518&gt;5000,L518&lt;&gt;"East"),"High-Value Merchant Day","Normal Merchant Day"))</f>
        <v/>
      </c>
    </row>
    <row r="519">
      <c r="A519" t="inlineStr">
        <is>
          <t>TXN300002</t>
        </is>
      </c>
      <c r="B519" t="n">
        <v>314</v>
      </c>
      <c r="C519" t="n">
        <v>17</v>
      </c>
      <c r="D519" s="3" t="n">
        <v>46024.75138888889</v>
      </c>
      <c r="E519" t="n">
        <v>299</v>
      </c>
      <c r="F519" t="inlineStr">
        <is>
          <t>Card</t>
        </is>
      </c>
      <c r="G519" t="inlineStr">
        <is>
          <t>failed</t>
        </is>
      </c>
      <c r="H519" t="n">
        <v>92</v>
      </c>
      <c r="I519" s="4">
        <f>INT(D519)</f>
        <v/>
      </c>
      <c r="J519">
        <f>IFERROR(VLOOKUP(C519,Merchants!$A$2:$D$41,2,FALSE),"Merchant not found")</f>
        <v/>
      </c>
      <c r="K519">
        <f>IFERROR(VLOOKUP(C519,Merchants!$A$2:$D$41,3,FALSE),"Merchant not found")</f>
        <v/>
      </c>
      <c r="L519">
        <f>IFERROR(VLOOKUP(C519,Merchants!$A$2:$D$41,4,FALSE),"Merchant not found")</f>
        <v/>
      </c>
      <c r="M519" s="5">
        <f>HLOOKUP(F519,Fee_Reference!$B$1:$E$2,2,FALSE)</f>
        <v/>
      </c>
      <c r="N519">
        <f>SUMIFS($E$2:$E$548,$C$2:$C$548,C519,$I$2:$I$548,I519)</f>
        <v/>
      </c>
      <c r="O519">
        <f>IF(J519="Merchant not found","Merchant not found",IF(AND(N519&gt;5000,L519&lt;&gt;"East"),"High-Value Merchant Day","Normal Merchant Day"))</f>
        <v/>
      </c>
    </row>
    <row r="520">
      <c r="A520" t="inlineStr">
        <is>
          <t>TXN300003</t>
        </is>
      </c>
      <c r="B520" t="n">
        <v>314</v>
      </c>
      <c r="C520" t="n">
        <v>34</v>
      </c>
      <c r="D520" s="3" t="n">
        <v>46024.75208333333</v>
      </c>
      <c r="E520" t="n">
        <v>499</v>
      </c>
      <c r="F520" t="inlineStr">
        <is>
          <t>Card</t>
        </is>
      </c>
      <c r="G520" t="inlineStr">
        <is>
          <t>captured</t>
        </is>
      </c>
      <c r="H520" t="n">
        <v>74</v>
      </c>
      <c r="I520" s="4">
        <f>INT(D520)</f>
        <v/>
      </c>
      <c r="J520">
        <f>IFERROR(VLOOKUP(C520,Merchants!$A$2:$D$41,2,FALSE),"Merchant not found")</f>
        <v/>
      </c>
      <c r="K520">
        <f>IFERROR(VLOOKUP(C520,Merchants!$A$2:$D$41,3,FALSE),"Merchant not found")</f>
        <v/>
      </c>
      <c r="L520">
        <f>IFERROR(VLOOKUP(C520,Merchants!$A$2:$D$41,4,FALSE),"Merchant not found")</f>
        <v/>
      </c>
      <c r="M520" s="5">
        <f>HLOOKUP(F520,Fee_Reference!$B$1:$E$2,2,FALSE)</f>
        <v/>
      </c>
      <c r="N520">
        <f>SUMIFS($E$2:$E$548,$C$2:$C$548,C520,$I$2:$I$548,I520)</f>
        <v/>
      </c>
      <c r="O520">
        <f>IF(J520="Merchant not found","Merchant not found",IF(AND(N520&gt;5000,L520&lt;&gt;"East"),"High-Value Merchant Day","Normal Merchant Day"))</f>
        <v/>
      </c>
    </row>
    <row r="521">
      <c r="A521" t="inlineStr">
        <is>
          <t>TXN300004</t>
        </is>
      </c>
      <c r="B521" t="n">
        <v>229</v>
      </c>
      <c r="C521" t="n">
        <v>30</v>
      </c>
      <c r="D521" s="3" t="n">
        <v>46034.5</v>
      </c>
      <c r="E521" t="n">
        <v>499</v>
      </c>
      <c r="F521" t="inlineStr">
        <is>
          <t>Card</t>
        </is>
      </c>
      <c r="G521" t="inlineStr">
        <is>
          <t>failed</t>
        </is>
      </c>
      <c r="H521" t="n">
        <v>92</v>
      </c>
      <c r="I521" s="4">
        <f>INT(D521)</f>
        <v/>
      </c>
      <c r="J521">
        <f>IFERROR(VLOOKUP(C521,Merchants!$A$2:$D$41,2,FALSE),"Merchant not found")</f>
        <v/>
      </c>
      <c r="K521">
        <f>IFERROR(VLOOKUP(C521,Merchants!$A$2:$D$41,3,FALSE),"Merchant not found")</f>
        <v/>
      </c>
      <c r="L521">
        <f>IFERROR(VLOOKUP(C521,Merchants!$A$2:$D$41,4,FALSE),"Merchant not found")</f>
        <v/>
      </c>
      <c r="M521" s="5">
        <f>HLOOKUP(F521,Fee_Reference!$B$1:$E$2,2,FALSE)</f>
        <v/>
      </c>
      <c r="N521">
        <f>SUMIFS($E$2:$E$548,$C$2:$C$548,C521,$I$2:$I$548,I521)</f>
        <v/>
      </c>
      <c r="O521">
        <f>IF(J521="Merchant not found","Merchant not found",IF(AND(N521&gt;5000,L521&lt;&gt;"East"),"High-Value Merchant Day","Normal Merchant Day"))</f>
        <v/>
      </c>
    </row>
    <row r="522">
      <c r="A522" t="inlineStr">
        <is>
          <t>TXN300005</t>
        </is>
      </c>
      <c r="B522" t="n">
        <v>229</v>
      </c>
      <c r="C522" t="n">
        <v>10</v>
      </c>
      <c r="D522" s="3" t="n">
        <v>46034.50069444445</v>
      </c>
      <c r="E522" t="n">
        <v>399</v>
      </c>
      <c r="F522" t="inlineStr">
        <is>
          <t>Card</t>
        </is>
      </c>
      <c r="G522" t="inlineStr">
        <is>
          <t>failed</t>
        </is>
      </c>
      <c r="H522" t="n">
        <v>61</v>
      </c>
      <c r="I522" s="4">
        <f>INT(D522)</f>
        <v/>
      </c>
      <c r="J522">
        <f>IFERROR(VLOOKUP(C522,Merchants!$A$2:$D$41,2,FALSE),"Merchant not found")</f>
        <v/>
      </c>
      <c r="K522">
        <f>IFERROR(VLOOKUP(C522,Merchants!$A$2:$D$41,3,FALSE),"Merchant not found")</f>
        <v/>
      </c>
      <c r="L522">
        <f>IFERROR(VLOOKUP(C522,Merchants!$A$2:$D$41,4,FALSE),"Merchant not found")</f>
        <v/>
      </c>
      <c r="M522" s="5">
        <f>HLOOKUP(F522,Fee_Reference!$B$1:$E$2,2,FALSE)</f>
        <v/>
      </c>
      <c r="N522">
        <f>SUMIFS($E$2:$E$548,$C$2:$C$548,C522,$I$2:$I$548,I522)</f>
        <v/>
      </c>
      <c r="O522">
        <f>IF(J522="Merchant not found","Merchant not found",IF(AND(N522&gt;5000,L522&lt;&gt;"East"),"High-Value Merchant Day","Normal Merchant Day"))</f>
        <v/>
      </c>
    </row>
    <row r="523">
      <c r="A523" t="inlineStr">
        <is>
          <t>TXN300006</t>
        </is>
      </c>
      <c r="B523" t="n">
        <v>229</v>
      </c>
      <c r="C523" t="n">
        <v>31</v>
      </c>
      <c r="D523" s="3" t="n">
        <v>46034.50138888889</v>
      </c>
      <c r="E523" t="n">
        <v>299</v>
      </c>
      <c r="F523" t="inlineStr">
        <is>
          <t>Card</t>
        </is>
      </c>
      <c r="G523" t="inlineStr">
        <is>
          <t>failed</t>
        </is>
      </c>
      <c r="H523" t="n">
        <v>78</v>
      </c>
      <c r="I523" s="4">
        <f>INT(D523)</f>
        <v/>
      </c>
      <c r="J523">
        <f>IFERROR(VLOOKUP(C523,Merchants!$A$2:$D$41,2,FALSE),"Merchant not found")</f>
        <v/>
      </c>
      <c r="K523">
        <f>IFERROR(VLOOKUP(C523,Merchants!$A$2:$D$41,3,FALSE),"Merchant not found")</f>
        <v/>
      </c>
      <c r="L523">
        <f>IFERROR(VLOOKUP(C523,Merchants!$A$2:$D$41,4,FALSE),"Merchant not found")</f>
        <v/>
      </c>
      <c r="M523" s="5">
        <f>HLOOKUP(F523,Fee_Reference!$B$1:$E$2,2,FALSE)</f>
        <v/>
      </c>
      <c r="N523">
        <f>SUMIFS($E$2:$E$548,$C$2:$C$548,C523,$I$2:$I$548,I523)</f>
        <v/>
      </c>
      <c r="O523">
        <f>IF(J523="Merchant not found","Merchant not found",IF(AND(N523&gt;5000,L523&lt;&gt;"East"),"High-Value Merchant Day","Normal Merchant Day"))</f>
        <v/>
      </c>
    </row>
    <row r="524">
      <c r="A524" t="inlineStr">
        <is>
          <t>TXN300007</t>
        </is>
      </c>
      <c r="B524" t="n">
        <v>229</v>
      </c>
      <c r="C524" t="n">
        <v>27</v>
      </c>
      <c r="D524" s="3" t="n">
        <v>46034.50208333333</v>
      </c>
      <c r="E524" t="n">
        <v>299</v>
      </c>
      <c r="F524" t="inlineStr">
        <is>
          <t>Card</t>
        </is>
      </c>
      <c r="G524" t="inlineStr">
        <is>
          <t>captured</t>
        </is>
      </c>
      <c r="H524" t="n">
        <v>67</v>
      </c>
      <c r="I524" s="4">
        <f>INT(D524)</f>
        <v/>
      </c>
      <c r="J524">
        <f>IFERROR(VLOOKUP(C524,Merchants!$A$2:$D$41,2,FALSE),"Merchant not found")</f>
        <v/>
      </c>
      <c r="K524">
        <f>IFERROR(VLOOKUP(C524,Merchants!$A$2:$D$41,3,FALSE),"Merchant not found")</f>
        <v/>
      </c>
      <c r="L524">
        <f>IFERROR(VLOOKUP(C524,Merchants!$A$2:$D$41,4,FALSE),"Merchant not found")</f>
        <v/>
      </c>
      <c r="M524" s="5">
        <f>HLOOKUP(F524,Fee_Reference!$B$1:$E$2,2,FALSE)</f>
        <v/>
      </c>
      <c r="N524">
        <f>SUMIFS($E$2:$E$548,$C$2:$C$548,C524,$I$2:$I$548,I524)</f>
        <v/>
      </c>
      <c r="O524">
        <f>IF(J524="Merchant not found","Merchant not found",IF(AND(N524&gt;5000,L524&lt;&gt;"East"),"High-Value Merchant Day","Normal Merchant Day"))</f>
        <v/>
      </c>
    </row>
    <row r="525">
      <c r="A525" t="inlineStr">
        <is>
          <t>TXN300008</t>
        </is>
      </c>
      <c r="B525" t="n">
        <v>73</v>
      </c>
      <c r="C525" t="n">
        <v>22</v>
      </c>
      <c r="D525" s="3" t="n">
        <v>46034.375</v>
      </c>
      <c r="E525" t="n">
        <v>399</v>
      </c>
      <c r="F525" t="inlineStr">
        <is>
          <t>Card</t>
        </is>
      </c>
      <c r="G525" t="inlineStr">
        <is>
          <t>failed</t>
        </is>
      </c>
      <c r="H525" t="n">
        <v>73</v>
      </c>
      <c r="I525" s="4">
        <f>INT(D525)</f>
        <v/>
      </c>
      <c r="J525">
        <f>IFERROR(VLOOKUP(C525,Merchants!$A$2:$D$41,2,FALSE),"Merchant not found")</f>
        <v/>
      </c>
      <c r="K525">
        <f>IFERROR(VLOOKUP(C525,Merchants!$A$2:$D$41,3,FALSE),"Merchant not found")</f>
        <v/>
      </c>
      <c r="L525">
        <f>IFERROR(VLOOKUP(C525,Merchants!$A$2:$D$41,4,FALSE),"Merchant not found")</f>
        <v/>
      </c>
      <c r="M525" s="5">
        <f>HLOOKUP(F525,Fee_Reference!$B$1:$E$2,2,FALSE)</f>
        <v/>
      </c>
      <c r="N525">
        <f>SUMIFS($E$2:$E$548,$C$2:$C$548,C525,$I$2:$I$548,I525)</f>
        <v/>
      </c>
      <c r="O525">
        <f>IF(J525="Merchant not found","Merchant not found",IF(AND(N525&gt;5000,L525&lt;&gt;"East"),"High-Value Merchant Day","Normal Merchant Day"))</f>
        <v/>
      </c>
    </row>
    <row r="526">
      <c r="A526" t="inlineStr">
        <is>
          <t>TXN300009</t>
        </is>
      </c>
      <c r="B526" t="n">
        <v>73</v>
      </c>
      <c r="C526" t="n">
        <v>34</v>
      </c>
      <c r="D526" s="3" t="n">
        <v>46034.37569444445</v>
      </c>
      <c r="E526" t="n">
        <v>399</v>
      </c>
      <c r="F526" t="inlineStr">
        <is>
          <t>Card</t>
        </is>
      </c>
      <c r="G526" t="inlineStr">
        <is>
          <t>failed</t>
        </is>
      </c>
      <c r="H526" t="n">
        <v>82</v>
      </c>
      <c r="I526" s="4">
        <f>INT(D526)</f>
        <v/>
      </c>
      <c r="J526">
        <f>IFERROR(VLOOKUP(C526,Merchants!$A$2:$D$41,2,FALSE),"Merchant not found")</f>
        <v/>
      </c>
      <c r="K526">
        <f>IFERROR(VLOOKUP(C526,Merchants!$A$2:$D$41,3,FALSE),"Merchant not found")</f>
        <v/>
      </c>
      <c r="L526">
        <f>IFERROR(VLOOKUP(C526,Merchants!$A$2:$D$41,4,FALSE),"Merchant not found")</f>
        <v/>
      </c>
      <c r="M526" s="5">
        <f>HLOOKUP(F526,Fee_Reference!$B$1:$E$2,2,FALSE)</f>
        <v/>
      </c>
      <c r="N526">
        <f>SUMIFS($E$2:$E$548,$C$2:$C$548,C526,$I$2:$I$548,I526)</f>
        <v/>
      </c>
      <c r="O526">
        <f>IF(J526="Merchant not found","Merchant not found",IF(AND(N526&gt;5000,L526&lt;&gt;"East"),"High-Value Merchant Day","Normal Merchant Day"))</f>
        <v/>
      </c>
    </row>
    <row r="527">
      <c r="A527" t="inlineStr">
        <is>
          <t>TXN300010</t>
        </is>
      </c>
      <c r="B527" t="n">
        <v>73</v>
      </c>
      <c r="C527" t="n">
        <v>31</v>
      </c>
      <c r="D527" s="3" t="n">
        <v>46034.37638888889</v>
      </c>
      <c r="E527" t="n">
        <v>299</v>
      </c>
      <c r="F527" t="inlineStr">
        <is>
          <t>Card</t>
        </is>
      </c>
      <c r="G527" t="inlineStr">
        <is>
          <t>failed</t>
        </is>
      </c>
      <c r="H527" t="n">
        <v>88</v>
      </c>
      <c r="I527" s="4">
        <f>INT(D527)</f>
        <v/>
      </c>
      <c r="J527">
        <f>IFERROR(VLOOKUP(C527,Merchants!$A$2:$D$41,2,FALSE),"Merchant not found")</f>
        <v/>
      </c>
      <c r="K527">
        <f>IFERROR(VLOOKUP(C527,Merchants!$A$2:$D$41,3,FALSE),"Merchant not found")</f>
        <v/>
      </c>
      <c r="L527">
        <f>IFERROR(VLOOKUP(C527,Merchants!$A$2:$D$41,4,FALSE),"Merchant not found")</f>
        <v/>
      </c>
      <c r="M527" s="5">
        <f>HLOOKUP(F527,Fee_Reference!$B$1:$E$2,2,FALSE)</f>
        <v/>
      </c>
      <c r="N527">
        <f>SUMIFS($E$2:$E$548,$C$2:$C$548,C527,$I$2:$I$548,I527)</f>
        <v/>
      </c>
      <c r="O527">
        <f>IF(J527="Merchant not found","Merchant not found",IF(AND(N527&gt;5000,L527&lt;&gt;"East"),"High-Value Merchant Day","Normal Merchant Day"))</f>
        <v/>
      </c>
    </row>
    <row r="528">
      <c r="A528" t="inlineStr">
        <is>
          <t>TXN300011</t>
        </is>
      </c>
      <c r="B528" t="n">
        <v>73</v>
      </c>
      <c r="C528" t="n">
        <v>29</v>
      </c>
      <c r="D528" s="3" t="n">
        <v>46034.37708333333</v>
      </c>
      <c r="E528" t="n">
        <v>399</v>
      </c>
      <c r="F528" t="inlineStr">
        <is>
          <t>Card</t>
        </is>
      </c>
      <c r="G528" t="inlineStr">
        <is>
          <t>captured</t>
        </is>
      </c>
      <c r="H528" t="n">
        <v>64</v>
      </c>
      <c r="I528" s="4">
        <f>INT(D528)</f>
        <v/>
      </c>
      <c r="J528">
        <f>IFERROR(VLOOKUP(C528,Merchants!$A$2:$D$41,2,FALSE),"Merchant not found")</f>
        <v/>
      </c>
      <c r="K528">
        <f>IFERROR(VLOOKUP(C528,Merchants!$A$2:$D$41,3,FALSE),"Merchant not found")</f>
        <v/>
      </c>
      <c r="L528">
        <f>IFERROR(VLOOKUP(C528,Merchants!$A$2:$D$41,4,FALSE),"Merchant not found")</f>
        <v/>
      </c>
      <c r="M528" s="5">
        <f>HLOOKUP(F528,Fee_Reference!$B$1:$E$2,2,FALSE)</f>
        <v/>
      </c>
      <c r="N528">
        <f>SUMIFS($E$2:$E$548,$C$2:$C$548,C528,$I$2:$I$548,I528)</f>
        <v/>
      </c>
      <c r="O528">
        <f>IF(J528="Merchant not found","Merchant not found",IF(AND(N528&gt;5000,L528&lt;&gt;"East"),"High-Value Merchant Day","Normal Merchant Day"))</f>
        <v/>
      </c>
    </row>
    <row r="529">
      <c r="A529" t="inlineStr">
        <is>
          <t>TXN300012</t>
        </is>
      </c>
      <c r="B529" t="n">
        <v>154</v>
      </c>
      <c r="C529" t="n">
        <v>8</v>
      </c>
      <c r="D529" s="3" t="n">
        <v>46024.91666666666</v>
      </c>
      <c r="E529" t="n">
        <v>299</v>
      </c>
      <c r="F529" t="inlineStr">
        <is>
          <t>Card</t>
        </is>
      </c>
      <c r="G529" t="inlineStr">
        <is>
          <t>failed</t>
        </is>
      </c>
      <c r="H529" t="n">
        <v>81</v>
      </c>
      <c r="I529" s="4">
        <f>INT(D529)</f>
        <v/>
      </c>
      <c r="J529">
        <f>IFERROR(VLOOKUP(C529,Merchants!$A$2:$D$41,2,FALSE),"Merchant not found")</f>
        <v/>
      </c>
      <c r="K529">
        <f>IFERROR(VLOOKUP(C529,Merchants!$A$2:$D$41,3,FALSE),"Merchant not found")</f>
        <v/>
      </c>
      <c r="L529">
        <f>IFERROR(VLOOKUP(C529,Merchants!$A$2:$D$41,4,FALSE),"Merchant not found")</f>
        <v/>
      </c>
      <c r="M529" s="5">
        <f>HLOOKUP(F529,Fee_Reference!$B$1:$E$2,2,FALSE)</f>
        <v/>
      </c>
      <c r="N529">
        <f>SUMIFS($E$2:$E$548,$C$2:$C$548,C529,$I$2:$I$548,I529)</f>
        <v/>
      </c>
      <c r="O529">
        <f>IF(J529="Merchant not found","Merchant not found",IF(AND(N529&gt;5000,L529&lt;&gt;"East"),"High-Value Merchant Day","Normal Merchant Day"))</f>
        <v/>
      </c>
    </row>
    <row r="530">
      <c r="A530" t="inlineStr">
        <is>
          <t>TXN300013</t>
        </is>
      </c>
      <c r="B530" t="n">
        <v>154</v>
      </c>
      <c r="C530" t="n">
        <v>7</v>
      </c>
      <c r="D530" s="3" t="n">
        <v>46024.91736111111</v>
      </c>
      <c r="E530" t="n">
        <v>499</v>
      </c>
      <c r="F530" t="inlineStr">
        <is>
          <t>Card</t>
        </is>
      </c>
      <c r="G530" t="inlineStr">
        <is>
          <t>failed</t>
        </is>
      </c>
      <c r="H530" t="n">
        <v>70</v>
      </c>
      <c r="I530" s="4">
        <f>INT(D530)</f>
        <v/>
      </c>
      <c r="J530">
        <f>IFERROR(VLOOKUP(C530,Merchants!$A$2:$D$41,2,FALSE),"Merchant not found")</f>
        <v/>
      </c>
      <c r="K530">
        <f>IFERROR(VLOOKUP(C530,Merchants!$A$2:$D$41,3,FALSE),"Merchant not found")</f>
        <v/>
      </c>
      <c r="L530">
        <f>IFERROR(VLOOKUP(C530,Merchants!$A$2:$D$41,4,FALSE),"Merchant not found")</f>
        <v/>
      </c>
      <c r="M530" s="5">
        <f>HLOOKUP(F530,Fee_Reference!$B$1:$E$2,2,FALSE)</f>
        <v/>
      </c>
      <c r="N530">
        <f>SUMIFS($E$2:$E$548,$C$2:$C$548,C530,$I$2:$I$548,I530)</f>
        <v/>
      </c>
      <c r="O530">
        <f>IF(J530="Merchant not found","Merchant not found",IF(AND(N530&gt;5000,L530&lt;&gt;"East"),"High-Value Merchant Day","Normal Merchant Day"))</f>
        <v/>
      </c>
    </row>
    <row r="531">
      <c r="A531" t="inlineStr">
        <is>
          <t>TXN300014</t>
        </is>
      </c>
      <c r="B531" t="n">
        <v>154</v>
      </c>
      <c r="C531" t="n">
        <v>16</v>
      </c>
      <c r="D531" s="3" t="n">
        <v>46024.91805555556</v>
      </c>
      <c r="E531" t="n">
        <v>499</v>
      </c>
      <c r="F531" t="inlineStr">
        <is>
          <t>Card</t>
        </is>
      </c>
      <c r="G531" t="inlineStr">
        <is>
          <t>failed</t>
        </is>
      </c>
      <c r="H531" t="n">
        <v>71</v>
      </c>
      <c r="I531" s="4">
        <f>INT(D531)</f>
        <v/>
      </c>
      <c r="J531">
        <f>IFERROR(VLOOKUP(C531,Merchants!$A$2:$D$41,2,FALSE),"Merchant not found")</f>
        <v/>
      </c>
      <c r="K531">
        <f>IFERROR(VLOOKUP(C531,Merchants!$A$2:$D$41,3,FALSE),"Merchant not found")</f>
        <v/>
      </c>
      <c r="L531">
        <f>IFERROR(VLOOKUP(C531,Merchants!$A$2:$D$41,4,FALSE),"Merchant not found")</f>
        <v/>
      </c>
      <c r="M531" s="5">
        <f>HLOOKUP(F531,Fee_Reference!$B$1:$E$2,2,FALSE)</f>
        <v/>
      </c>
      <c r="N531">
        <f>SUMIFS($E$2:$E$548,$C$2:$C$548,C531,$I$2:$I$548,I531)</f>
        <v/>
      </c>
      <c r="O531">
        <f>IF(J531="Merchant not found","Merchant not found",IF(AND(N531&gt;5000,L531&lt;&gt;"East"),"High-Value Merchant Day","Normal Merchant Day"))</f>
        <v/>
      </c>
    </row>
    <row r="532">
      <c r="A532" t="inlineStr">
        <is>
          <t>TXN300015</t>
        </is>
      </c>
      <c r="B532" t="n">
        <v>154</v>
      </c>
      <c r="C532" t="n">
        <v>36</v>
      </c>
      <c r="D532" s="3" t="n">
        <v>46024.91875</v>
      </c>
      <c r="E532" t="n">
        <v>299</v>
      </c>
      <c r="F532" t="inlineStr">
        <is>
          <t>Card</t>
        </is>
      </c>
      <c r="G532" t="inlineStr">
        <is>
          <t>captured</t>
        </is>
      </c>
      <c r="H532" t="n">
        <v>81</v>
      </c>
      <c r="I532" s="4">
        <f>INT(D532)</f>
        <v/>
      </c>
      <c r="J532">
        <f>IFERROR(VLOOKUP(C532,Merchants!$A$2:$D$41,2,FALSE),"Merchant not found")</f>
        <v/>
      </c>
      <c r="K532">
        <f>IFERROR(VLOOKUP(C532,Merchants!$A$2:$D$41,3,FALSE),"Merchant not found")</f>
        <v/>
      </c>
      <c r="L532">
        <f>IFERROR(VLOOKUP(C532,Merchants!$A$2:$D$41,4,FALSE),"Merchant not found")</f>
        <v/>
      </c>
      <c r="M532" s="5">
        <f>HLOOKUP(F532,Fee_Reference!$B$1:$E$2,2,FALSE)</f>
        <v/>
      </c>
      <c r="N532">
        <f>SUMIFS($E$2:$E$548,$C$2:$C$548,C532,$I$2:$I$548,I532)</f>
        <v/>
      </c>
      <c r="O532">
        <f>IF(J532="Merchant not found","Merchant not found",IF(AND(N532&gt;5000,L532&lt;&gt;"East"),"High-Value Merchant Day","Normal Merchant Day"))</f>
        <v/>
      </c>
    </row>
    <row r="533">
      <c r="A533" t="inlineStr">
        <is>
          <t>TXN300016</t>
        </is>
      </c>
      <c r="B533" t="n">
        <v>287</v>
      </c>
      <c r="C533" t="n">
        <v>15</v>
      </c>
      <c r="D533" s="3" t="n">
        <v>46036.58333333334</v>
      </c>
      <c r="E533" t="n">
        <v>399</v>
      </c>
      <c r="F533" t="inlineStr">
        <is>
          <t>Card</t>
        </is>
      </c>
      <c r="G533" t="inlineStr">
        <is>
          <t>failed</t>
        </is>
      </c>
      <c r="H533" t="n">
        <v>71</v>
      </c>
      <c r="I533" s="4">
        <f>INT(D533)</f>
        <v/>
      </c>
      <c r="J533">
        <f>IFERROR(VLOOKUP(C533,Merchants!$A$2:$D$41,2,FALSE),"Merchant not found")</f>
        <v/>
      </c>
      <c r="K533">
        <f>IFERROR(VLOOKUP(C533,Merchants!$A$2:$D$41,3,FALSE),"Merchant not found")</f>
        <v/>
      </c>
      <c r="L533">
        <f>IFERROR(VLOOKUP(C533,Merchants!$A$2:$D$41,4,FALSE),"Merchant not found")</f>
        <v/>
      </c>
      <c r="M533" s="5">
        <f>HLOOKUP(F533,Fee_Reference!$B$1:$E$2,2,FALSE)</f>
        <v/>
      </c>
      <c r="N533">
        <f>SUMIFS($E$2:$E$548,$C$2:$C$548,C533,$I$2:$I$548,I533)</f>
        <v/>
      </c>
      <c r="O533">
        <f>IF(J533="Merchant not found","Merchant not found",IF(AND(N533&gt;5000,L533&lt;&gt;"East"),"High-Value Merchant Day","Normal Merchant Day"))</f>
        <v/>
      </c>
    </row>
    <row r="534">
      <c r="A534" t="inlineStr">
        <is>
          <t>TXN300017</t>
        </is>
      </c>
      <c r="B534" t="n">
        <v>287</v>
      </c>
      <c r="C534" t="n">
        <v>12</v>
      </c>
      <c r="D534" s="3" t="n">
        <v>46036.58402777778</v>
      </c>
      <c r="E534" t="n">
        <v>499</v>
      </c>
      <c r="F534" t="inlineStr">
        <is>
          <t>Card</t>
        </is>
      </c>
      <c r="G534" t="inlineStr">
        <is>
          <t>failed</t>
        </is>
      </c>
      <c r="H534" t="n">
        <v>87</v>
      </c>
      <c r="I534" s="4">
        <f>INT(D534)</f>
        <v/>
      </c>
      <c r="J534">
        <f>IFERROR(VLOOKUP(C534,Merchants!$A$2:$D$41,2,FALSE),"Merchant not found")</f>
        <v/>
      </c>
      <c r="K534">
        <f>IFERROR(VLOOKUP(C534,Merchants!$A$2:$D$41,3,FALSE),"Merchant not found")</f>
        <v/>
      </c>
      <c r="L534">
        <f>IFERROR(VLOOKUP(C534,Merchants!$A$2:$D$41,4,FALSE),"Merchant not found")</f>
        <v/>
      </c>
      <c r="M534" s="5">
        <f>HLOOKUP(F534,Fee_Reference!$B$1:$E$2,2,FALSE)</f>
        <v/>
      </c>
      <c r="N534">
        <f>SUMIFS($E$2:$E$548,$C$2:$C$548,C534,$I$2:$I$548,I534)</f>
        <v/>
      </c>
      <c r="O534">
        <f>IF(J534="Merchant not found","Merchant not found",IF(AND(N534&gt;5000,L534&lt;&gt;"East"),"High-Value Merchant Day","Normal Merchant Day"))</f>
        <v/>
      </c>
    </row>
    <row r="535">
      <c r="A535" t="inlineStr">
        <is>
          <t>TXN300018</t>
        </is>
      </c>
      <c r="B535" t="n">
        <v>287</v>
      </c>
      <c r="C535" t="n">
        <v>26</v>
      </c>
      <c r="D535" s="3" t="n">
        <v>46036.58472222222</v>
      </c>
      <c r="E535" t="n">
        <v>299</v>
      </c>
      <c r="F535" t="inlineStr">
        <is>
          <t>Card</t>
        </is>
      </c>
      <c r="G535" t="inlineStr">
        <is>
          <t>failed</t>
        </is>
      </c>
      <c r="H535" t="n">
        <v>72</v>
      </c>
      <c r="I535" s="4">
        <f>INT(D535)</f>
        <v/>
      </c>
      <c r="J535">
        <f>IFERROR(VLOOKUP(C535,Merchants!$A$2:$D$41,2,FALSE),"Merchant not found")</f>
        <v/>
      </c>
      <c r="K535">
        <f>IFERROR(VLOOKUP(C535,Merchants!$A$2:$D$41,3,FALSE),"Merchant not found")</f>
        <v/>
      </c>
      <c r="L535">
        <f>IFERROR(VLOOKUP(C535,Merchants!$A$2:$D$41,4,FALSE),"Merchant not found")</f>
        <v/>
      </c>
      <c r="M535" s="5">
        <f>HLOOKUP(F535,Fee_Reference!$B$1:$E$2,2,FALSE)</f>
        <v/>
      </c>
      <c r="N535">
        <f>SUMIFS($E$2:$E$548,$C$2:$C$548,C535,$I$2:$I$548,I535)</f>
        <v/>
      </c>
      <c r="O535">
        <f>IF(J535="Merchant not found","Merchant not found",IF(AND(N535&gt;5000,L535&lt;&gt;"East"),"High-Value Merchant Day","Normal Merchant Day"))</f>
        <v/>
      </c>
    </row>
    <row r="536">
      <c r="A536" t="inlineStr">
        <is>
          <t>TXN300019</t>
        </is>
      </c>
      <c r="B536" t="n">
        <v>287</v>
      </c>
      <c r="C536" t="n">
        <v>29</v>
      </c>
      <c r="D536" s="3" t="n">
        <v>46036.58541666667</v>
      </c>
      <c r="E536" t="n">
        <v>499</v>
      </c>
      <c r="F536" t="inlineStr">
        <is>
          <t>Card</t>
        </is>
      </c>
      <c r="G536" t="inlineStr">
        <is>
          <t>captured</t>
        </is>
      </c>
      <c r="H536" t="n">
        <v>87</v>
      </c>
      <c r="I536" s="4">
        <f>INT(D536)</f>
        <v/>
      </c>
      <c r="J536">
        <f>IFERROR(VLOOKUP(C536,Merchants!$A$2:$D$41,2,FALSE),"Merchant not found")</f>
        <v/>
      </c>
      <c r="K536">
        <f>IFERROR(VLOOKUP(C536,Merchants!$A$2:$D$41,3,FALSE),"Merchant not found")</f>
        <v/>
      </c>
      <c r="L536">
        <f>IFERROR(VLOOKUP(C536,Merchants!$A$2:$D$41,4,FALSE),"Merchant not found")</f>
        <v/>
      </c>
      <c r="M536" s="5">
        <f>HLOOKUP(F536,Fee_Reference!$B$1:$E$2,2,FALSE)</f>
        <v/>
      </c>
      <c r="N536">
        <f>SUMIFS($E$2:$E$548,$C$2:$C$548,C536,$I$2:$I$548,I536)</f>
        <v/>
      </c>
      <c r="O536">
        <f>IF(J536="Merchant not found","Merchant not found",IF(AND(N536&gt;5000,L536&lt;&gt;"East"),"High-Value Merchant Day","Normal Merchant Day"))</f>
        <v/>
      </c>
    </row>
    <row r="537">
      <c r="A537" t="inlineStr">
        <is>
          <t>TXN300020</t>
        </is>
      </c>
      <c r="B537" t="n">
        <v>200</v>
      </c>
      <c r="C537" t="n">
        <v>14</v>
      </c>
      <c r="D537" s="3" t="n">
        <v>46023.91666666666</v>
      </c>
      <c r="E537" t="n">
        <v>299</v>
      </c>
      <c r="F537" t="inlineStr">
        <is>
          <t>Card</t>
        </is>
      </c>
      <c r="G537" t="inlineStr">
        <is>
          <t>failed</t>
        </is>
      </c>
      <c r="H537" t="n">
        <v>77</v>
      </c>
      <c r="I537" s="4">
        <f>INT(D537)</f>
        <v/>
      </c>
      <c r="J537">
        <f>IFERROR(VLOOKUP(C537,Merchants!$A$2:$D$41,2,FALSE),"Merchant not found")</f>
        <v/>
      </c>
      <c r="K537">
        <f>IFERROR(VLOOKUP(C537,Merchants!$A$2:$D$41,3,FALSE),"Merchant not found")</f>
        <v/>
      </c>
      <c r="L537">
        <f>IFERROR(VLOOKUP(C537,Merchants!$A$2:$D$41,4,FALSE),"Merchant not found")</f>
        <v/>
      </c>
      <c r="M537" s="5">
        <f>HLOOKUP(F537,Fee_Reference!$B$1:$E$2,2,FALSE)</f>
        <v/>
      </c>
      <c r="N537">
        <f>SUMIFS($E$2:$E$548,$C$2:$C$548,C537,$I$2:$I$548,I537)</f>
        <v/>
      </c>
      <c r="O537">
        <f>IF(J537="Merchant not found","Merchant not found",IF(AND(N537&gt;5000,L537&lt;&gt;"East"),"High-Value Merchant Day","Normal Merchant Day"))</f>
        <v/>
      </c>
    </row>
    <row r="538">
      <c r="A538" t="inlineStr">
        <is>
          <t>TXN300021</t>
        </is>
      </c>
      <c r="B538" t="n">
        <v>200</v>
      </c>
      <c r="C538" t="n">
        <v>5</v>
      </c>
      <c r="D538" s="3" t="n">
        <v>46023.91736111111</v>
      </c>
      <c r="E538" t="n">
        <v>499</v>
      </c>
      <c r="F538" t="inlineStr">
        <is>
          <t>Card</t>
        </is>
      </c>
      <c r="G538" t="inlineStr">
        <is>
          <t>failed</t>
        </is>
      </c>
      <c r="H538" t="n">
        <v>66</v>
      </c>
      <c r="I538" s="4">
        <f>INT(D538)</f>
        <v/>
      </c>
      <c r="J538">
        <f>IFERROR(VLOOKUP(C538,Merchants!$A$2:$D$41,2,FALSE),"Merchant not found")</f>
        <v/>
      </c>
      <c r="K538">
        <f>IFERROR(VLOOKUP(C538,Merchants!$A$2:$D$41,3,FALSE),"Merchant not found")</f>
        <v/>
      </c>
      <c r="L538">
        <f>IFERROR(VLOOKUP(C538,Merchants!$A$2:$D$41,4,FALSE),"Merchant not found")</f>
        <v/>
      </c>
      <c r="M538" s="5">
        <f>HLOOKUP(F538,Fee_Reference!$B$1:$E$2,2,FALSE)</f>
        <v/>
      </c>
      <c r="N538">
        <f>SUMIFS($E$2:$E$548,$C$2:$C$548,C538,$I$2:$I$548,I538)</f>
        <v/>
      </c>
      <c r="O538">
        <f>IF(J538="Merchant not found","Merchant not found",IF(AND(N538&gt;5000,L538&lt;&gt;"East"),"High-Value Merchant Day","Normal Merchant Day"))</f>
        <v/>
      </c>
    </row>
    <row r="539">
      <c r="A539" t="inlineStr">
        <is>
          <t>TXN300022</t>
        </is>
      </c>
      <c r="B539" t="n">
        <v>200</v>
      </c>
      <c r="C539" t="n">
        <v>35</v>
      </c>
      <c r="D539" s="3" t="n">
        <v>46023.91805555556</v>
      </c>
      <c r="E539" t="n">
        <v>299</v>
      </c>
      <c r="F539" t="inlineStr">
        <is>
          <t>Card</t>
        </is>
      </c>
      <c r="G539" t="inlineStr">
        <is>
          <t>failed</t>
        </is>
      </c>
      <c r="H539" t="n">
        <v>83</v>
      </c>
      <c r="I539" s="4">
        <f>INT(D539)</f>
        <v/>
      </c>
      <c r="J539">
        <f>IFERROR(VLOOKUP(C539,Merchants!$A$2:$D$41,2,FALSE),"Merchant not found")</f>
        <v/>
      </c>
      <c r="K539">
        <f>IFERROR(VLOOKUP(C539,Merchants!$A$2:$D$41,3,FALSE),"Merchant not found")</f>
        <v/>
      </c>
      <c r="L539">
        <f>IFERROR(VLOOKUP(C539,Merchants!$A$2:$D$41,4,FALSE),"Merchant not found")</f>
        <v/>
      </c>
      <c r="M539" s="5">
        <f>HLOOKUP(F539,Fee_Reference!$B$1:$E$2,2,FALSE)</f>
        <v/>
      </c>
      <c r="N539">
        <f>SUMIFS($E$2:$E$548,$C$2:$C$548,C539,$I$2:$I$548,I539)</f>
        <v/>
      </c>
      <c r="O539">
        <f>IF(J539="Merchant not found","Merchant not found",IF(AND(N539&gt;5000,L539&lt;&gt;"East"),"High-Value Merchant Day","Normal Merchant Day"))</f>
        <v/>
      </c>
    </row>
    <row r="540">
      <c r="A540" t="inlineStr">
        <is>
          <t>TXN300023</t>
        </is>
      </c>
      <c r="B540" t="n">
        <v>200</v>
      </c>
      <c r="C540" t="n">
        <v>21</v>
      </c>
      <c r="D540" s="3" t="n">
        <v>46023.91875</v>
      </c>
      <c r="E540" t="n">
        <v>299</v>
      </c>
      <c r="F540" t="inlineStr">
        <is>
          <t>Card</t>
        </is>
      </c>
      <c r="G540" t="inlineStr">
        <is>
          <t>captured</t>
        </is>
      </c>
      <c r="H540" t="n">
        <v>89</v>
      </c>
      <c r="I540" s="4">
        <f>INT(D540)</f>
        <v/>
      </c>
      <c r="J540">
        <f>IFERROR(VLOOKUP(C540,Merchants!$A$2:$D$41,2,FALSE),"Merchant not found")</f>
        <v/>
      </c>
      <c r="K540">
        <f>IFERROR(VLOOKUP(C540,Merchants!$A$2:$D$41,3,FALSE),"Merchant not found")</f>
        <v/>
      </c>
      <c r="L540">
        <f>IFERROR(VLOOKUP(C540,Merchants!$A$2:$D$41,4,FALSE),"Merchant not found")</f>
        <v/>
      </c>
      <c r="M540" s="5">
        <f>HLOOKUP(F540,Fee_Reference!$B$1:$E$2,2,FALSE)</f>
        <v/>
      </c>
      <c r="N540">
        <f>SUMIFS($E$2:$E$548,$C$2:$C$548,C540,$I$2:$I$548,I540)</f>
        <v/>
      </c>
      <c r="O540">
        <f>IF(J540="Merchant not found","Merchant not found",IF(AND(N540&gt;5000,L540&lt;&gt;"East"),"High-Value Merchant Day","Normal Merchant Day"))</f>
        <v/>
      </c>
    </row>
    <row r="541">
      <c r="A541" t="inlineStr">
        <is>
          <t>TXN300024</t>
        </is>
      </c>
      <c r="B541" t="n">
        <v>59</v>
      </c>
      <c r="C541" t="n">
        <v>32</v>
      </c>
      <c r="D541" s="3" t="n">
        <v>46031.875</v>
      </c>
      <c r="E541" t="n">
        <v>499</v>
      </c>
      <c r="F541" t="inlineStr">
        <is>
          <t>Card</t>
        </is>
      </c>
      <c r="G541" t="inlineStr">
        <is>
          <t>failed</t>
        </is>
      </c>
      <c r="H541" t="n">
        <v>80</v>
      </c>
      <c r="I541" s="4">
        <f>INT(D541)</f>
        <v/>
      </c>
      <c r="J541">
        <f>IFERROR(VLOOKUP(C541,Merchants!$A$2:$D$41,2,FALSE),"Merchant not found")</f>
        <v/>
      </c>
      <c r="K541">
        <f>IFERROR(VLOOKUP(C541,Merchants!$A$2:$D$41,3,FALSE),"Merchant not found")</f>
        <v/>
      </c>
      <c r="L541">
        <f>IFERROR(VLOOKUP(C541,Merchants!$A$2:$D$41,4,FALSE),"Merchant not found")</f>
        <v/>
      </c>
      <c r="M541" s="5">
        <f>HLOOKUP(F541,Fee_Reference!$B$1:$E$2,2,FALSE)</f>
        <v/>
      </c>
      <c r="N541">
        <f>SUMIFS($E$2:$E$548,$C$2:$C$548,C541,$I$2:$I$548,I541)</f>
        <v/>
      </c>
      <c r="O541">
        <f>IF(J541="Merchant not found","Merchant not found",IF(AND(N541&gt;5000,L541&lt;&gt;"East"),"High-Value Merchant Day","Normal Merchant Day"))</f>
        <v/>
      </c>
    </row>
    <row r="542">
      <c r="A542" t="inlineStr">
        <is>
          <t>TXN300025</t>
        </is>
      </c>
      <c r="B542" t="n">
        <v>59</v>
      </c>
      <c r="C542" t="n">
        <v>39</v>
      </c>
      <c r="D542" s="3" t="n">
        <v>46031.87569444445</v>
      </c>
      <c r="E542" t="n">
        <v>399</v>
      </c>
      <c r="F542" t="inlineStr">
        <is>
          <t>Card</t>
        </is>
      </c>
      <c r="G542" t="inlineStr">
        <is>
          <t>failed</t>
        </is>
      </c>
      <c r="H542" t="n">
        <v>85</v>
      </c>
      <c r="I542" s="4">
        <f>INT(D542)</f>
        <v/>
      </c>
      <c r="J542">
        <f>IFERROR(VLOOKUP(C542,Merchants!$A$2:$D$41,2,FALSE),"Merchant not found")</f>
        <v/>
      </c>
      <c r="K542">
        <f>IFERROR(VLOOKUP(C542,Merchants!$A$2:$D$41,3,FALSE),"Merchant not found")</f>
        <v/>
      </c>
      <c r="L542">
        <f>IFERROR(VLOOKUP(C542,Merchants!$A$2:$D$41,4,FALSE),"Merchant not found")</f>
        <v/>
      </c>
      <c r="M542" s="5">
        <f>HLOOKUP(F542,Fee_Reference!$B$1:$E$2,2,FALSE)</f>
        <v/>
      </c>
      <c r="N542">
        <f>SUMIFS($E$2:$E$548,$C$2:$C$548,C542,$I$2:$I$548,I542)</f>
        <v/>
      </c>
      <c r="O542">
        <f>IF(J542="Merchant not found","Merchant not found",IF(AND(N542&gt;5000,L542&lt;&gt;"East"),"High-Value Merchant Day","Normal Merchant Day"))</f>
        <v/>
      </c>
    </row>
    <row r="543">
      <c r="A543" t="inlineStr">
        <is>
          <t>TXN300026</t>
        </is>
      </c>
      <c r="B543" t="n">
        <v>59</v>
      </c>
      <c r="C543" t="n">
        <v>38</v>
      </c>
      <c r="D543" s="3" t="n">
        <v>46031.87638888889</v>
      </c>
      <c r="E543" t="n">
        <v>299</v>
      </c>
      <c r="F543" t="inlineStr">
        <is>
          <t>Card</t>
        </is>
      </c>
      <c r="G543" t="inlineStr">
        <is>
          <t>failed</t>
        </is>
      </c>
      <c r="H543" t="n">
        <v>82</v>
      </c>
      <c r="I543" s="4">
        <f>INT(D543)</f>
        <v/>
      </c>
      <c r="J543">
        <f>IFERROR(VLOOKUP(C543,Merchants!$A$2:$D$41,2,FALSE),"Merchant not found")</f>
        <v/>
      </c>
      <c r="K543">
        <f>IFERROR(VLOOKUP(C543,Merchants!$A$2:$D$41,3,FALSE),"Merchant not found")</f>
        <v/>
      </c>
      <c r="L543">
        <f>IFERROR(VLOOKUP(C543,Merchants!$A$2:$D$41,4,FALSE),"Merchant not found")</f>
        <v/>
      </c>
      <c r="M543" s="5">
        <f>HLOOKUP(F543,Fee_Reference!$B$1:$E$2,2,FALSE)</f>
        <v/>
      </c>
      <c r="N543">
        <f>SUMIFS($E$2:$E$548,$C$2:$C$548,C543,$I$2:$I$548,I543)</f>
        <v/>
      </c>
      <c r="O543">
        <f>IF(J543="Merchant not found","Merchant not found",IF(AND(N543&gt;5000,L543&lt;&gt;"East"),"High-Value Merchant Day","Normal Merchant Day"))</f>
        <v/>
      </c>
    </row>
    <row r="544">
      <c r="A544" t="inlineStr">
        <is>
          <t>TXN300027</t>
        </is>
      </c>
      <c r="B544" t="n">
        <v>59</v>
      </c>
      <c r="C544" t="n">
        <v>23</v>
      </c>
      <c r="D544" s="3" t="n">
        <v>46031.87708333333</v>
      </c>
      <c r="E544" t="n">
        <v>399</v>
      </c>
      <c r="F544" t="inlineStr">
        <is>
          <t>Card</t>
        </is>
      </c>
      <c r="G544" t="inlineStr">
        <is>
          <t>captured</t>
        </is>
      </c>
      <c r="H544" t="n">
        <v>71</v>
      </c>
      <c r="I544" s="4">
        <f>INT(D544)</f>
        <v/>
      </c>
      <c r="J544">
        <f>IFERROR(VLOOKUP(C544,Merchants!$A$2:$D$41,2,FALSE),"Merchant not found")</f>
        <v/>
      </c>
      <c r="K544">
        <f>IFERROR(VLOOKUP(C544,Merchants!$A$2:$D$41,3,FALSE),"Merchant not found")</f>
        <v/>
      </c>
      <c r="L544">
        <f>IFERROR(VLOOKUP(C544,Merchants!$A$2:$D$41,4,FALSE),"Merchant not found")</f>
        <v/>
      </c>
      <c r="M544" s="5">
        <f>HLOOKUP(F544,Fee_Reference!$B$1:$E$2,2,FALSE)</f>
        <v/>
      </c>
      <c r="N544">
        <f>SUMIFS($E$2:$E$548,$C$2:$C$548,C544,$I$2:$I$548,I544)</f>
        <v/>
      </c>
      <c r="O544">
        <f>IF(J544="Merchant not found","Merchant not found",IF(AND(N544&gt;5000,L544&lt;&gt;"East"),"High-Value Merchant Day","Normal Merchant Day"))</f>
        <v/>
      </c>
    </row>
    <row r="545">
      <c r="A545" t="inlineStr">
        <is>
          <t>TXN300028</t>
        </is>
      </c>
      <c r="B545" t="n">
        <v>345</v>
      </c>
      <c r="C545" t="n">
        <v>40</v>
      </c>
      <c r="D545" s="3" t="n">
        <v>46045.375</v>
      </c>
      <c r="E545" t="n">
        <v>499</v>
      </c>
      <c r="F545" t="inlineStr">
        <is>
          <t>Card</t>
        </is>
      </c>
      <c r="G545" t="inlineStr">
        <is>
          <t>failed</t>
        </is>
      </c>
      <c r="H545" t="n">
        <v>65</v>
      </c>
      <c r="I545" s="4">
        <f>INT(D545)</f>
        <v/>
      </c>
      <c r="J545">
        <f>IFERROR(VLOOKUP(C545,Merchants!$A$2:$D$41,2,FALSE),"Merchant not found")</f>
        <v/>
      </c>
      <c r="K545">
        <f>IFERROR(VLOOKUP(C545,Merchants!$A$2:$D$41,3,FALSE),"Merchant not found")</f>
        <v/>
      </c>
      <c r="L545">
        <f>IFERROR(VLOOKUP(C545,Merchants!$A$2:$D$41,4,FALSE),"Merchant not found")</f>
        <v/>
      </c>
      <c r="M545" s="5">
        <f>HLOOKUP(F545,Fee_Reference!$B$1:$E$2,2,FALSE)</f>
        <v/>
      </c>
      <c r="N545">
        <f>SUMIFS($E$2:$E$548,$C$2:$C$548,C545,$I$2:$I$548,I545)</f>
        <v/>
      </c>
      <c r="O545">
        <f>IF(J545="Merchant not found","Merchant not found",IF(AND(N545&gt;5000,L545&lt;&gt;"East"),"High-Value Merchant Day","Normal Merchant Day"))</f>
        <v/>
      </c>
    </row>
    <row r="546">
      <c r="A546" t="inlineStr">
        <is>
          <t>TXN300029</t>
        </is>
      </c>
      <c r="B546" t="n">
        <v>345</v>
      </c>
      <c r="C546" t="n">
        <v>9</v>
      </c>
      <c r="D546" s="3" t="n">
        <v>46045.37569444445</v>
      </c>
      <c r="E546" t="n">
        <v>399</v>
      </c>
      <c r="F546" t="inlineStr">
        <is>
          <t>Card</t>
        </is>
      </c>
      <c r="G546" t="inlineStr">
        <is>
          <t>failed</t>
        </is>
      </c>
      <c r="H546" t="n">
        <v>67</v>
      </c>
      <c r="I546" s="4">
        <f>INT(D546)</f>
        <v/>
      </c>
      <c r="J546">
        <f>IFERROR(VLOOKUP(C546,Merchants!$A$2:$D$41,2,FALSE),"Merchant not found")</f>
        <v/>
      </c>
      <c r="K546">
        <f>IFERROR(VLOOKUP(C546,Merchants!$A$2:$D$41,3,FALSE),"Merchant not found")</f>
        <v/>
      </c>
      <c r="L546">
        <f>IFERROR(VLOOKUP(C546,Merchants!$A$2:$D$41,4,FALSE),"Merchant not found")</f>
        <v/>
      </c>
      <c r="M546" s="5">
        <f>HLOOKUP(F546,Fee_Reference!$B$1:$E$2,2,FALSE)</f>
        <v/>
      </c>
      <c r="N546">
        <f>SUMIFS($E$2:$E$548,$C$2:$C$548,C546,$I$2:$I$548,I546)</f>
        <v/>
      </c>
      <c r="O546">
        <f>IF(J546="Merchant not found","Merchant not found",IF(AND(N546&gt;5000,L546&lt;&gt;"East"),"High-Value Merchant Day","Normal Merchant Day"))</f>
        <v/>
      </c>
    </row>
    <row r="547">
      <c r="A547" t="inlineStr">
        <is>
          <t>TXN300030</t>
        </is>
      </c>
      <c r="B547" t="n">
        <v>345</v>
      </c>
      <c r="C547" t="n">
        <v>16</v>
      </c>
      <c r="D547" s="3" t="n">
        <v>46045.37638888889</v>
      </c>
      <c r="E547" t="n">
        <v>399</v>
      </c>
      <c r="F547" t="inlineStr">
        <is>
          <t>Card</t>
        </is>
      </c>
      <c r="G547" t="inlineStr">
        <is>
          <t>failed</t>
        </is>
      </c>
      <c r="H547" t="n">
        <v>67</v>
      </c>
      <c r="I547" s="4">
        <f>INT(D547)</f>
        <v/>
      </c>
      <c r="J547">
        <f>IFERROR(VLOOKUP(C547,Merchants!$A$2:$D$41,2,FALSE),"Merchant not found")</f>
        <v/>
      </c>
      <c r="K547">
        <f>IFERROR(VLOOKUP(C547,Merchants!$A$2:$D$41,3,FALSE),"Merchant not found")</f>
        <v/>
      </c>
      <c r="L547">
        <f>IFERROR(VLOOKUP(C547,Merchants!$A$2:$D$41,4,FALSE),"Merchant not found")</f>
        <v/>
      </c>
      <c r="M547" s="5">
        <f>HLOOKUP(F547,Fee_Reference!$B$1:$E$2,2,FALSE)</f>
        <v/>
      </c>
      <c r="N547">
        <f>SUMIFS($E$2:$E$548,$C$2:$C$548,C547,$I$2:$I$548,I547)</f>
        <v/>
      </c>
      <c r="O547">
        <f>IF(J547="Merchant not found","Merchant not found",IF(AND(N547&gt;5000,L547&lt;&gt;"East"),"High-Value Merchant Day","Normal Merchant Day"))</f>
        <v/>
      </c>
    </row>
    <row r="548">
      <c r="A548" t="inlineStr">
        <is>
          <t>TXN300031</t>
        </is>
      </c>
      <c r="B548" t="n">
        <v>345</v>
      </c>
      <c r="C548" t="n">
        <v>12</v>
      </c>
      <c r="D548" s="3" t="n">
        <v>46045.37708333333</v>
      </c>
      <c r="E548" t="n">
        <v>399</v>
      </c>
      <c r="F548" t="inlineStr">
        <is>
          <t>Card</t>
        </is>
      </c>
      <c r="G548" t="inlineStr">
        <is>
          <t>captured</t>
        </is>
      </c>
      <c r="H548" t="n">
        <v>69</v>
      </c>
      <c r="I548" s="4">
        <f>INT(D548)</f>
        <v/>
      </c>
      <c r="J548">
        <f>IFERROR(VLOOKUP(C548,Merchants!$A$2:$D$41,2,FALSE),"Merchant not found")</f>
        <v/>
      </c>
      <c r="K548">
        <f>IFERROR(VLOOKUP(C548,Merchants!$A$2:$D$41,3,FALSE),"Merchant not found")</f>
        <v/>
      </c>
      <c r="L548">
        <f>IFERROR(VLOOKUP(C548,Merchants!$A$2:$D$41,4,FALSE),"Merchant not found")</f>
        <v/>
      </c>
      <c r="M548" s="5">
        <f>HLOOKUP(F548,Fee_Reference!$B$1:$E$2,2,FALSE)</f>
        <v/>
      </c>
      <c r="N548">
        <f>SUMIFS($E$2:$E$548,$C$2:$C$548,C548,$I$2:$I$548,I548)</f>
        <v/>
      </c>
      <c r="O548">
        <f>IF(J548="Merchant not found","Merchant not found",IF(AND(N548&gt;5000,L548&lt;&gt;"East"),"High-Value Merchant Day","Normal Merchant Day"))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region</t>
        </is>
      </c>
    </row>
    <row r="2">
      <c r="A2" t="n">
        <v>1</v>
      </c>
      <c r="B2" t="inlineStr">
        <is>
          <t>Merchant_001</t>
        </is>
      </c>
      <c r="C2" t="inlineStr">
        <is>
          <t>ecommerce</t>
        </is>
      </c>
      <c r="D2" t="inlineStr">
        <is>
          <t>South</t>
        </is>
      </c>
    </row>
    <row r="3">
      <c r="A3" t="n">
        <v>2</v>
      </c>
      <c r="B3" t="inlineStr">
        <is>
          <t>Merchant_002</t>
        </is>
      </c>
      <c r="C3" t="inlineStr">
        <is>
          <t>grocery</t>
        </is>
      </c>
      <c r="D3" t="inlineStr">
        <is>
          <t>West</t>
        </is>
      </c>
    </row>
    <row r="4">
      <c r="A4" t="n">
        <v>3</v>
      </c>
      <c r="B4" t="inlineStr">
        <is>
          <t>Merchant_003</t>
        </is>
      </c>
      <c r="C4" t="inlineStr">
        <is>
          <t>grocery</t>
        </is>
      </c>
      <c r="D4" t="inlineStr">
        <is>
          <t>East</t>
        </is>
      </c>
    </row>
    <row r="5">
      <c r="A5" t="n">
        <v>4</v>
      </c>
      <c r="B5" t="inlineStr">
        <is>
          <t>Merchant_004</t>
        </is>
      </c>
      <c r="C5" t="inlineStr">
        <is>
          <t>ecommerce</t>
        </is>
      </c>
      <c r="D5" t="inlineStr">
        <is>
          <t>East</t>
        </is>
      </c>
    </row>
    <row r="6">
      <c r="A6" t="n">
        <v>5</v>
      </c>
      <c r="B6" t="inlineStr">
        <is>
          <t>Merchant_005</t>
        </is>
      </c>
      <c r="C6" t="inlineStr">
        <is>
          <t>recharge</t>
        </is>
      </c>
      <c r="D6" t="inlineStr">
        <is>
          <t>South</t>
        </is>
      </c>
    </row>
    <row r="7">
      <c r="A7" t="n">
        <v>6</v>
      </c>
      <c r="B7" t="inlineStr">
        <is>
          <t>Merchant_006</t>
        </is>
      </c>
      <c r="C7" t="inlineStr">
        <is>
          <t>food_delivery</t>
        </is>
      </c>
      <c r="D7" t="inlineStr">
        <is>
          <t>South</t>
        </is>
      </c>
    </row>
    <row r="8">
      <c r="A8" t="n">
        <v>7</v>
      </c>
      <c r="B8" t="inlineStr">
        <is>
          <t>Merchant_007</t>
        </is>
      </c>
      <c r="C8" t="inlineStr">
        <is>
          <t>food_delivery</t>
        </is>
      </c>
      <c r="D8" t="inlineStr">
        <is>
          <t>East</t>
        </is>
      </c>
    </row>
    <row r="9">
      <c r="A9" t="n">
        <v>8</v>
      </c>
      <c r="B9" t="inlineStr">
        <is>
          <t>Merchant_008</t>
        </is>
      </c>
      <c r="C9" t="inlineStr">
        <is>
          <t>food_delivery</t>
        </is>
      </c>
      <c r="D9" t="inlineStr">
        <is>
          <t>North</t>
        </is>
      </c>
    </row>
    <row r="10">
      <c r="A10" t="n">
        <v>9</v>
      </c>
      <c r="B10" t="inlineStr">
        <is>
          <t>Merchant_009</t>
        </is>
      </c>
      <c r="C10" t="inlineStr">
        <is>
          <t>ecommerce</t>
        </is>
      </c>
      <c r="D10" t="inlineStr">
        <is>
          <t>North</t>
        </is>
      </c>
    </row>
    <row r="11">
      <c r="A11" t="n">
        <v>10</v>
      </c>
      <c r="B11" t="inlineStr">
        <is>
          <t>Merchant_010</t>
        </is>
      </c>
      <c r="C11" t="inlineStr">
        <is>
          <t>grocery</t>
        </is>
      </c>
      <c r="D11" t="inlineStr">
        <is>
          <t>West</t>
        </is>
      </c>
    </row>
    <row r="12">
      <c r="A12" t="n">
        <v>11</v>
      </c>
      <c r="B12" t="inlineStr">
        <is>
          <t>Merchant_011</t>
        </is>
      </c>
      <c r="C12" t="inlineStr">
        <is>
          <t>ecommerce</t>
        </is>
      </c>
      <c r="D12" t="inlineStr">
        <is>
          <t>North</t>
        </is>
      </c>
    </row>
    <row r="13">
      <c r="A13" t="n">
        <v>12</v>
      </c>
      <c r="B13" t="inlineStr">
        <is>
          <t>Merchant_012</t>
        </is>
      </c>
      <c r="C13" t="inlineStr">
        <is>
          <t>ecommerce</t>
        </is>
      </c>
      <c r="D13" t="inlineStr">
        <is>
          <t>East</t>
        </is>
      </c>
    </row>
    <row r="14">
      <c r="A14" t="n">
        <v>13</v>
      </c>
      <c r="B14" t="inlineStr">
        <is>
          <t>Merchant_013</t>
        </is>
      </c>
      <c r="C14" t="inlineStr">
        <is>
          <t>travel</t>
        </is>
      </c>
      <c r="D14" t="inlineStr">
        <is>
          <t>East</t>
        </is>
      </c>
    </row>
    <row r="15">
      <c r="A15" t="n">
        <v>14</v>
      </c>
      <c r="B15" t="inlineStr">
        <is>
          <t>Merchant_014</t>
        </is>
      </c>
      <c r="C15" t="inlineStr">
        <is>
          <t>grocery</t>
        </is>
      </c>
      <c r="D15" t="inlineStr">
        <is>
          <t>East</t>
        </is>
      </c>
    </row>
    <row r="16">
      <c r="A16" t="n">
        <v>15</v>
      </c>
      <c r="B16" t="inlineStr">
        <is>
          <t>Merchant_015</t>
        </is>
      </c>
      <c r="C16" t="inlineStr">
        <is>
          <t>travel</t>
        </is>
      </c>
      <c r="D16" t="inlineStr">
        <is>
          <t>North</t>
        </is>
      </c>
    </row>
    <row r="17">
      <c r="A17" t="n">
        <v>16</v>
      </c>
      <c r="B17" t="inlineStr">
        <is>
          <t>Merchant_016</t>
        </is>
      </c>
      <c r="C17" t="inlineStr">
        <is>
          <t>bill_payment</t>
        </is>
      </c>
      <c r="D17" t="inlineStr">
        <is>
          <t>West</t>
        </is>
      </c>
    </row>
    <row r="18">
      <c r="A18" t="n">
        <v>17</v>
      </c>
      <c r="B18" t="inlineStr">
        <is>
          <t>Merchant_017</t>
        </is>
      </c>
      <c r="C18" t="inlineStr">
        <is>
          <t>grocery</t>
        </is>
      </c>
      <c r="D18" t="inlineStr">
        <is>
          <t>North</t>
        </is>
      </c>
    </row>
    <row r="19">
      <c r="A19" t="n">
        <v>18</v>
      </c>
      <c r="B19" t="inlineStr">
        <is>
          <t>Merchant_018</t>
        </is>
      </c>
      <c r="C19" t="inlineStr">
        <is>
          <t>grocery</t>
        </is>
      </c>
      <c r="D19" t="inlineStr">
        <is>
          <t>West</t>
        </is>
      </c>
    </row>
    <row r="20">
      <c r="A20" t="n">
        <v>19</v>
      </c>
      <c r="B20" t="inlineStr">
        <is>
          <t>Merchant_019</t>
        </is>
      </c>
      <c r="C20" t="inlineStr">
        <is>
          <t>grocery</t>
        </is>
      </c>
      <c r="D20" t="inlineStr">
        <is>
          <t>North</t>
        </is>
      </c>
    </row>
    <row r="21">
      <c r="A21" t="n">
        <v>20</v>
      </c>
      <c r="B21" t="inlineStr">
        <is>
          <t>Merchant_020</t>
        </is>
      </c>
      <c r="C21" t="inlineStr">
        <is>
          <t>food_delivery</t>
        </is>
      </c>
      <c r="D21" t="inlineStr">
        <is>
          <t>East</t>
        </is>
      </c>
    </row>
    <row r="22">
      <c r="A22" t="n">
        <v>21</v>
      </c>
      <c r="B22" t="inlineStr">
        <is>
          <t>Merchant_021</t>
        </is>
      </c>
      <c r="C22" t="inlineStr">
        <is>
          <t>food_delivery</t>
        </is>
      </c>
      <c r="D22" t="inlineStr">
        <is>
          <t>East</t>
        </is>
      </c>
    </row>
    <row r="23">
      <c r="A23" t="n">
        <v>22</v>
      </c>
      <c r="B23" t="inlineStr">
        <is>
          <t>Merchant_022</t>
        </is>
      </c>
      <c r="C23" t="inlineStr">
        <is>
          <t>travel</t>
        </is>
      </c>
      <c r="D23" t="inlineStr">
        <is>
          <t>South</t>
        </is>
      </c>
    </row>
    <row r="24">
      <c r="A24" t="n">
        <v>23</v>
      </c>
      <c r="B24" t="inlineStr">
        <is>
          <t>Merchant_023</t>
        </is>
      </c>
      <c r="C24" t="inlineStr">
        <is>
          <t>travel</t>
        </is>
      </c>
      <c r="D24" t="inlineStr">
        <is>
          <t>North</t>
        </is>
      </c>
    </row>
    <row r="25">
      <c r="A25" t="n">
        <v>24</v>
      </c>
      <c r="B25" t="inlineStr">
        <is>
          <t>Merchant_024</t>
        </is>
      </c>
      <c r="C25" t="inlineStr">
        <is>
          <t>grocery</t>
        </is>
      </c>
      <c r="D25" t="inlineStr">
        <is>
          <t>North</t>
        </is>
      </c>
    </row>
    <row r="26">
      <c r="A26" t="n">
        <v>25</v>
      </c>
      <c r="B26" t="inlineStr">
        <is>
          <t>Merchant_025</t>
        </is>
      </c>
      <c r="C26" t="inlineStr">
        <is>
          <t>travel</t>
        </is>
      </c>
      <c r="D26" t="inlineStr">
        <is>
          <t>South</t>
        </is>
      </c>
    </row>
    <row r="27">
      <c r="A27" t="n">
        <v>26</v>
      </c>
      <c r="B27" t="inlineStr">
        <is>
          <t>Merchant_026</t>
        </is>
      </c>
      <c r="C27" t="inlineStr">
        <is>
          <t>food_delivery</t>
        </is>
      </c>
      <c r="D27" t="inlineStr">
        <is>
          <t>East</t>
        </is>
      </c>
    </row>
    <row r="28">
      <c r="A28" t="n">
        <v>27</v>
      </c>
      <c r="B28" t="inlineStr">
        <is>
          <t>Merchant_027</t>
        </is>
      </c>
      <c r="C28" t="inlineStr">
        <is>
          <t>ecommerce</t>
        </is>
      </c>
      <c r="D28" t="inlineStr">
        <is>
          <t>North</t>
        </is>
      </c>
    </row>
    <row r="29">
      <c r="A29" t="n">
        <v>28</v>
      </c>
      <c r="B29" t="inlineStr">
        <is>
          <t>Merchant_028</t>
        </is>
      </c>
      <c r="C29" t="inlineStr">
        <is>
          <t>ecommerce</t>
        </is>
      </c>
      <c r="D29" t="inlineStr">
        <is>
          <t>South</t>
        </is>
      </c>
    </row>
    <row r="30">
      <c r="A30" t="n">
        <v>29</v>
      </c>
      <c r="B30" t="inlineStr">
        <is>
          <t>Merchant_029</t>
        </is>
      </c>
      <c r="C30" t="inlineStr">
        <is>
          <t>ecommerce</t>
        </is>
      </c>
      <c r="D30" t="inlineStr">
        <is>
          <t>North</t>
        </is>
      </c>
    </row>
    <row r="31">
      <c r="A31" t="n">
        <v>30</v>
      </c>
      <c r="B31" t="inlineStr">
        <is>
          <t>Merchant_030</t>
        </is>
      </c>
      <c r="C31" t="inlineStr">
        <is>
          <t>travel</t>
        </is>
      </c>
      <c r="D31" t="inlineStr">
        <is>
          <t>West</t>
        </is>
      </c>
    </row>
    <row r="32">
      <c r="A32" t="n">
        <v>31</v>
      </c>
      <c r="B32" t="inlineStr">
        <is>
          <t>Merchant_031</t>
        </is>
      </c>
      <c r="C32" t="inlineStr">
        <is>
          <t>bill_payment</t>
        </is>
      </c>
      <c r="D32" t="inlineStr">
        <is>
          <t>East</t>
        </is>
      </c>
    </row>
    <row r="33">
      <c r="A33" t="n">
        <v>32</v>
      </c>
      <c r="B33" t="inlineStr">
        <is>
          <t>Merchant_032</t>
        </is>
      </c>
      <c r="C33" t="inlineStr">
        <is>
          <t>food_delivery</t>
        </is>
      </c>
      <c r="D33" t="inlineStr">
        <is>
          <t>West</t>
        </is>
      </c>
    </row>
    <row r="34">
      <c r="A34" t="n">
        <v>33</v>
      </c>
      <c r="B34" t="inlineStr">
        <is>
          <t>Merchant_033</t>
        </is>
      </c>
      <c r="C34" t="inlineStr">
        <is>
          <t>bill_payment</t>
        </is>
      </c>
      <c r="D34" t="inlineStr">
        <is>
          <t>East</t>
        </is>
      </c>
    </row>
    <row r="35">
      <c r="A35" t="n">
        <v>34</v>
      </c>
      <c r="B35" t="inlineStr">
        <is>
          <t>Merchant_034</t>
        </is>
      </c>
      <c r="C35" t="inlineStr">
        <is>
          <t>travel</t>
        </is>
      </c>
      <c r="D35" t="inlineStr">
        <is>
          <t>South</t>
        </is>
      </c>
    </row>
    <row r="36">
      <c r="A36" t="n">
        <v>35</v>
      </c>
      <c r="B36" t="inlineStr">
        <is>
          <t>Merchant_035</t>
        </is>
      </c>
      <c r="C36" t="inlineStr">
        <is>
          <t>recharge</t>
        </is>
      </c>
      <c r="D36" t="inlineStr">
        <is>
          <t>East</t>
        </is>
      </c>
    </row>
    <row r="37">
      <c r="A37" t="n">
        <v>36</v>
      </c>
      <c r="B37" t="inlineStr">
        <is>
          <t>Merchant_036</t>
        </is>
      </c>
      <c r="C37" t="inlineStr">
        <is>
          <t>entertainment</t>
        </is>
      </c>
      <c r="D37" t="inlineStr">
        <is>
          <t>East</t>
        </is>
      </c>
    </row>
    <row r="38">
      <c r="A38" t="n">
        <v>37</v>
      </c>
      <c r="B38" t="inlineStr">
        <is>
          <t>Merchant_037</t>
        </is>
      </c>
      <c r="C38" t="inlineStr">
        <is>
          <t>entertainment</t>
        </is>
      </c>
      <c r="D38" t="inlineStr">
        <is>
          <t>South</t>
        </is>
      </c>
    </row>
    <row r="39">
      <c r="A39" t="n">
        <v>38</v>
      </c>
      <c r="B39" t="inlineStr">
        <is>
          <t>Merchant_038</t>
        </is>
      </c>
      <c r="C39" t="inlineStr">
        <is>
          <t>grocery</t>
        </is>
      </c>
      <c r="D39" t="inlineStr">
        <is>
          <t>East</t>
        </is>
      </c>
    </row>
    <row r="40">
      <c r="A40" t="n">
        <v>39</v>
      </c>
      <c r="B40" t="inlineStr">
        <is>
          <t>Merchant_039</t>
        </is>
      </c>
      <c r="C40" t="inlineStr">
        <is>
          <t>entertainment</t>
        </is>
      </c>
      <c r="D40" t="inlineStr">
        <is>
          <t>North</t>
        </is>
      </c>
    </row>
    <row r="41">
      <c r="A41" t="n">
        <v>40</v>
      </c>
      <c r="B41" t="inlineStr">
        <is>
          <t>Merchant_040</t>
        </is>
      </c>
      <c r="C41" t="inlineStr">
        <is>
          <t>entertainment</t>
        </is>
      </c>
      <c r="D41" t="inlineStr">
        <is>
          <t>South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8" customWidth="1" min="3" max="3"/>
    <col width="7" customWidth="1" min="4" max="4"/>
    <col width="12" customWidth="1" min="5" max="5"/>
  </cols>
  <sheetData>
    <row r="1">
      <c r="A1" s="6" t="inlineStr">
        <is>
          <t>Illustrative MDR-style fee assumptions (synthetic; not actual Paytm commercial rates)</t>
        </is>
      </c>
      <c r="B1" t="inlineStr">
        <is>
          <t>UPI</t>
        </is>
      </c>
      <c r="C1" t="inlineStr">
        <is>
          <t>Wallet</t>
        </is>
      </c>
      <c r="D1" t="inlineStr">
        <is>
          <t>Card</t>
        </is>
      </c>
      <c r="E1" t="inlineStr">
        <is>
          <t>Netbanking</t>
        </is>
      </c>
    </row>
    <row r="2">
      <c r="A2" t="inlineStr">
        <is>
          <t>Fee %</t>
        </is>
      </c>
      <c r="B2" s="5" t="n">
        <v>0</v>
      </c>
      <c r="C2" s="5" t="n">
        <v>0.01</v>
      </c>
      <c r="D2" s="5" t="n">
        <v>0.015</v>
      </c>
      <c r="E2" s="5" t="n">
        <v>0.01</v>
      </c>
    </row>
    <row r="3"/>
    <row r="4">
      <c r="A4" t="inlineStr">
        <is>
          <t>HLOOKUP demonstration</t>
        </is>
      </c>
    </row>
    <row r="5">
      <c r="A5" t="inlineStr">
        <is>
          <t>Enter/use payment_method horizontally; Transactions_View column M uses:</t>
        </is>
      </c>
    </row>
    <row r="6">
      <c r="A6">
        <f>HLOOKUP(F2,Fee_Reference!$B$1:$E$2,2,FALSE)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9" customWidth="1" min="4" max="4"/>
  </cols>
  <sheetData>
    <row r="1">
      <c r="A1" s="1" t="inlineStr">
        <is>
          <t>merchant_id</t>
        </is>
      </c>
      <c r="B1" s="1" t="inlineStr">
        <is>
          <t>transaction_date</t>
        </is>
      </c>
      <c r="C1" s="1" t="inlineStr">
        <is>
          <t>daily_transaction_total_inr</t>
        </is>
      </c>
      <c r="D1" s="1" t="inlineStr">
        <is>
          <t>transaction_count</t>
        </is>
      </c>
    </row>
    <row r="2">
      <c r="A2" t="n">
        <v>1</v>
      </c>
      <c r="B2" s="4" t="n">
        <v>46027</v>
      </c>
      <c r="C2" t="n">
        <v>1499</v>
      </c>
      <c r="D2" t="n">
        <v>1</v>
      </c>
    </row>
    <row r="3">
      <c r="A3" t="n">
        <v>1</v>
      </c>
      <c r="B3" s="4" t="n">
        <v>46028</v>
      </c>
      <c r="C3" t="n">
        <v>149</v>
      </c>
      <c r="D3" t="n">
        <v>1</v>
      </c>
    </row>
    <row r="4">
      <c r="A4" t="n">
        <v>1</v>
      </c>
      <c r="B4" s="4" t="n">
        <v>46031</v>
      </c>
      <c r="C4" t="n">
        <v>5048</v>
      </c>
      <c r="D4" t="n">
        <v>2</v>
      </c>
    </row>
    <row r="5">
      <c r="A5" t="n">
        <v>1</v>
      </c>
      <c r="B5" s="4" t="n">
        <v>46033</v>
      </c>
      <c r="C5" t="n">
        <v>299</v>
      </c>
      <c r="D5" t="n">
        <v>1</v>
      </c>
    </row>
    <row r="6">
      <c r="A6" t="n">
        <v>1</v>
      </c>
      <c r="B6" s="4" t="n">
        <v>46034</v>
      </c>
      <c r="C6" t="n">
        <v>149</v>
      </c>
      <c r="D6" t="n">
        <v>1</v>
      </c>
    </row>
    <row r="7">
      <c r="A7" t="n">
        <v>1</v>
      </c>
      <c r="B7" s="4" t="n">
        <v>46039</v>
      </c>
      <c r="C7" t="n">
        <v>149</v>
      </c>
      <c r="D7" t="n">
        <v>1</v>
      </c>
    </row>
    <row r="8">
      <c r="A8" t="n">
        <v>1</v>
      </c>
      <c r="B8" s="4" t="n">
        <v>46045</v>
      </c>
      <c r="C8" t="n">
        <v>3148</v>
      </c>
      <c r="D8" t="n">
        <v>2</v>
      </c>
    </row>
    <row r="9">
      <c r="A9" t="n">
        <v>2</v>
      </c>
      <c r="B9" s="4" t="n">
        <v>46029</v>
      </c>
      <c r="C9" t="n">
        <v>499</v>
      </c>
      <c r="D9" t="n">
        <v>1</v>
      </c>
    </row>
    <row r="10">
      <c r="A10" t="n">
        <v>2</v>
      </c>
      <c r="B10" s="4" t="n">
        <v>46030</v>
      </c>
      <c r="C10" t="n">
        <v>299</v>
      </c>
      <c r="D10" t="n">
        <v>1</v>
      </c>
    </row>
    <row r="11">
      <c r="A11" t="n">
        <v>2</v>
      </c>
      <c r="B11" s="4" t="n">
        <v>46034</v>
      </c>
      <c r="C11" t="n">
        <v>348</v>
      </c>
      <c r="D11" t="n">
        <v>2</v>
      </c>
    </row>
    <row r="12">
      <c r="A12" t="n">
        <v>2</v>
      </c>
      <c r="B12" s="4" t="n">
        <v>46035</v>
      </c>
      <c r="C12" t="n">
        <v>49</v>
      </c>
      <c r="D12" t="n">
        <v>1</v>
      </c>
    </row>
    <row r="13">
      <c r="A13" t="n">
        <v>2</v>
      </c>
      <c r="B13" s="4" t="n">
        <v>46037</v>
      </c>
      <c r="C13" t="n">
        <v>1499</v>
      </c>
      <c r="D13" t="n">
        <v>1</v>
      </c>
    </row>
    <row r="14">
      <c r="A14" t="n">
        <v>2</v>
      </c>
      <c r="B14" s="4" t="n">
        <v>46041</v>
      </c>
      <c r="C14" t="n">
        <v>49</v>
      </c>
      <c r="D14" t="n">
        <v>1</v>
      </c>
    </row>
    <row r="15">
      <c r="A15" t="n">
        <v>2</v>
      </c>
      <c r="B15" s="4" t="n">
        <v>46044</v>
      </c>
      <c r="C15" t="n">
        <v>299</v>
      </c>
      <c r="D15" t="n">
        <v>1</v>
      </c>
    </row>
    <row r="16">
      <c r="A16" t="n">
        <v>2</v>
      </c>
      <c r="B16" s="4" t="n">
        <v>46048</v>
      </c>
      <c r="C16" t="n">
        <v>299</v>
      </c>
      <c r="D16" t="n">
        <v>1</v>
      </c>
    </row>
    <row r="17">
      <c r="A17" t="n">
        <v>2</v>
      </c>
      <c r="B17" s="4" t="n">
        <v>46052</v>
      </c>
      <c r="C17" t="n">
        <v>299</v>
      </c>
      <c r="D17" t="n">
        <v>1</v>
      </c>
    </row>
    <row r="18">
      <c r="A18" t="n">
        <v>3</v>
      </c>
      <c r="B18" s="4" t="n">
        <v>46025</v>
      </c>
      <c r="C18" t="n">
        <v>198</v>
      </c>
      <c r="D18" t="n">
        <v>2</v>
      </c>
    </row>
    <row r="19">
      <c r="A19" t="n">
        <v>3</v>
      </c>
      <c r="B19" s="4" t="n">
        <v>46027</v>
      </c>
      <c r="C19" t="n">
        <v>99</v>
      </c>
      <c r="D19" t="n">
        <v>1</v>
      </c>
    </row>
    <row r="20">
      <c r="A20" t="n">
        <v>3</v>
      </c>
      <c r="B20" s="4" t="n">
        <v>46028</v>
      </c>
      <c r="C20" t="n">
        <v>898</v>
      </c>
      <c r="D20" t="n">
        <v>2</v>
      </c>
    </row>
    <row r="21">
      <c r="A21" t="n">
        <v>3</v>
      </c>
      <c r="B21" s="4" t="n">
        <v>46029</v>
      </c>
      <c r="C21" t="n">
        <v>798</v>
      </c>
      <c r="D21" t="n">
        <v>2</v>
      </c>
    </row>
    <row r="22">
      <c r="A22" t="n">
        <v>3</v>
      </c>
      <c r="B22" s="4" t="n">
        <v>46030</v>
      </c>
      <c r="C22" t="n">
        <v>149</v>
      </c>
      <c r="D22" t="n">
        <v>1</v>
      </c>
    </row>
    <row r="23">
      <c r="A23" t="n">
        <v>3</v>
      </c>
      <c r="B23" s="4" t="n">
        <v>46035</v>
      </c>
      <c r="C23" t="n">
        <v>198</v>
      </c>
      <c r="D23" t="n">
        <v>2</v>
      </c>
    </row>
    <row r="24">
      <c r="A24" t="n">
        <v>3</v>
      </c>
      <c r="B24" s="4" t="n">
        <v>46038</v>
      </c>
      <c r="C24" t="n">
        <v>4999</v>
      </c>
      <c r="D24" t="n">
        <v>1</v>
      </c>
    </row>
    <row r="25">
      <c r="A25" t="n">
        <v>3</v>
      </c>
      <c r="B25" s="4" t="n">
        <v>46042</v>
      </c>
      <c r="C25" t="n">
        <v>99</v>
      </c>
      <c r="D25" t="n">
        <v>1</v>
      </c>
    </row>
    <row r="26">
      <c r="A26" t="n">
        <v>3</v>
      </c>
      <c r="B26" s="4" t="n">
        <v>46044</v>
      </c>
      <c r="C26" t="n">
        <v>499</v>
      </c>
      <c r="D26" t="n">
        <v>1</v>
      </c>
    </row>
    <row r="27">
      <c r="A27" t="n">
        <v>3</v>
      </c>
      <c r="B27" s="4" t="n">
        <v>46045</v>
      </c>
      <c r="C27" t="n">
        <v>49</v>
      </c>
      <c r="D27" t="n">
        <v>1</v>
      </c>
    </row>
    <row r="28">
      <c r="A28" t="n">
        <v>3</v>
      </c>
      <c r="B28" s="4" t="n">
        <v>46048</v>
      </c>
      <c r="C28" t="n">
        <v>149</v>
      </c>
      <c r="D28" t="n">
        <v>1</v>
      </c>
    </row>
    <row r="29">
      <c r="A29" t="n">
        <v>3</v>
      </c>
      <c r="B29" s="4" t="n">
        <v>46051</v>
      </c>
      <c r="C29" t="n">
        <v>49</v>
      </c>
      <c r="D29" t="n">
        <v>1</v>
      </c>
    </row>
    <row r="30">
      <c r="A30" t="n">
        <v>3</v>
      </c>
      <c r="B30" s="4" t="n">
        <v>46052</v>
      </c>
      <c r="C30" t="n">
        <v>49</v>
      </c>
      <c r="D30" t="n">
        <v>1</v>
      </c>
    </row>
    <row r="31">
      <c r="A31" t="n">
        <v>4</v>
      </c>
      <c r="B31" s="4" t="n">
        <v>46024</v>
      </c>
      <c r="C31" t="n">
        <v>149</v>
      </c>
      <c r="D31" t="n">
        <v>1</v>
      </c>
    </row>
    <row r="32">
      <c r="A32" t="n">
        <v>4</v>
      </c>
      <c r="B32" s="4" t="n">
        <v>46034</v>
      </c>
      <c r="C32" t="n">
        <v>49</v>
      </c>
      <c r="D32" t="n">
        <v>1</v>
      </c>
    </row>
    <row r="33">
      <c r="A33" t="n">
        <v>4</v>
      </c>
      <c r="B33" s="4" t="n">
        <v>46035</v>
      </c>
      <c r="C33" t="n">
        <v>948</v>
      </c>
      <c r="D33" t="n">
        <v>2</v>
      </c>
    </row>
    <row r="34">
      <c r="A34" t="n">
        <v>4</v>
      </c>
      <c r="B34" s="4" t="n">
        <v>46038</v>
      </c>
      <c r="C34" t="n">
        <v>799</v>
      </c>
      <c r="D34" t="n">
        <v>1</v>
      </c>
    </row>
    <row r="35">
      <c r="A35" t="n">
        <v>4</v>
      </c>
      <c r="B35" s="4" t="n">
        <v>46039</v>
      </c>
      <c r="C35" t="n">
        <v>1499</v>
      </c>
      <c r="D35" t="n">
        <v>1</v>
      </c>
    </row>
    <row r="36">
      <c r="A36" t="n">
        <v>4</v>
      </c>
      <c r="B36" s="4" t="n">
        <v>46046</v>
      </c>
      <c r="C36" t="n">
        <v>1499</v>
      </c>
      <c r="D36" t="n">
        <v>1</v>
      </c>
    </row>
    <row r="37">
      <c r="A37" t="n">
        <v>4</v>
      </c>
      <c r="B37" s="4" t="n">
        <v>46047</v>
      </c>
      <c r="C37" t="n">
        <v>1998</v>
      </c>
      <c r="D37" t="n">
        <v>2</v>
      </c>
    </row>
    <row r="38">
      <c r="A38" t="n">
        <v>5</v>
      </c>
      <c r="B38" s="4" t="n">
        <v>46023</v>
      </c>
      <c r="C38" t="n">
        <v>499</v>
      </c>
      <c r="D38" t="n">
        <v>1</v>
      </c>
    </row>
    <row r="39">
      <c r="A39" t="n">
        <v>5</v>
      </c>
      <c r="B39" s="4" t="n">
        <v>46025</v>
      </c>
      <c r="C39" t="n">
        <v>499</v>
      </c>
      <c r="D39" t="n">
        <v>1</v>
      </c>
    </row>
    <row r="40">
      <c r="A40" t="n">
        <v>5</v>
      </c>
      <c r="B40" s="4" t="n">
        <v>46031</v>
      </c>
      <c r="C40" t="n">
        <v>348</v>
      </c>
      <c r="D40" t="n">
        <v>2</v>
      </c>
    </row>
    <row r="41">
      <c r="A41" t="n">
        <v>5</v>
      </c>
      <c r="B41" s="4" t="n">
        <v>46032</v>
      </c>
      <c r="C41" t="n">
        <v>99</v>
      </c>
      <c r="D41" t="n">
        <v>1</v>
      </c>
    </row>
    <row r="42">
      <c r="A42" t="n">
        <v>5</v>
      </c>
      <c r="B42" s="4" t="n">
        <v>46037</v>
      </c>
      <c r="C42" t="n">
        <v>548</v>
      </c>
      <c r="D42" t="n">
        <v>2</v>
      </c>
    </row>
    <row r="43">
      <c r="A43" t="n">
        <v>5</v>
      </c>
      <c r="B43" s="4" t="n">
        <v>46039</v>
      </c>
      <c r="C43" t="n">
        <v>499</v>
      </c>
      <c r="D43" t="n">
        <v>1</v>
      </c>
    </row>
    <row r="44">
      <c r="A44" t="n">
        <v>5</v>
      </c>
      <c r="B44" s="4" t="n">
        <v>46040</v>
      </c>
      <c r="C44" t="n">
        <v>299</v>
      </c>
      <c r="D44" t="n">
        <v>1</v>
      </c>
    </row>
    <row r="45">
      <c r="A45" t="n">
        <v>5</v>
      </c>
      <c r="B45" s="4" t="n">
        <v>46041</v>
      </c>
      <c r="C45" t="n">
        <v>49</v>
      </c>
      <c r="D45" t="n">
        <v>1</v>
      </c>
    </row>
    <row r="46">
      <c r="A46" t="n">
        <v>5</v>
      </c>
      <c r="B46" s="4" t="n">
        <v>46052</v>
      </c>
      <c r="C46" t="n">
        <v>2999</v>
      </c>
      <c r="D46" t="n">
        <v>1</v>
      </c>
    </row>
    <row r="47">
      <c r="A47" t="n">
        <v>6</v>
      </c>
      <c r="B47" s="4" t="n">
        <v>46023</v>
      </c>
      <c r="C47" t="n">
        <v>49</v>
      </c>
      <c r="D47" t="n">
        <v>1</v>
      </c>
    </row>
    <row r="48">
      <c r="A48" t="n">
        <v>6</v>
      </c>
      <c r="B48" s="4" t="n">
        <v>46025</v>
      </c>
      <c r="C48" t="n">
        <v>799</v>
      </c>
      <c r="D48" t="n">
        <v>1</v>
      </c>
    </row>
    <row r="49">
      <c r="A49" t="n">
        <v>6</v>
      </c>
      <c r="B49" s="4" t="n">
        <v>46027</v>
      </c>
      <c r="C49" t="n">
        <v>1499</v>
      </c>
      <c r="D49" t="n">
        <v>1</v>
      </c>
    </row>
    <row r="50">
      <c r="A50" t="n">
        <v>6</v>
      </c>
      <c r="B50" s="4" t="n">
        <v>46030</v>
      </c>
      <c r="C50" t="n">
        <v>149</v>
      </c>
      <c r="D50" t="n">
        <v>1</v>
      </c>
    </row>
    <row r="51">
      <c r="A51" t="n">
        <v>6</v>
      </c>
      <c r="B51" s="4" t="n">
        <v>46031</v>
      </c>
      <c r="C51" t="n">
        <v>99</v>
      </c>
      <c r="D51" t="n">
        <v>1</v>
      </c>
    </row>
    <row r="52">
      <c r="A52" t="n">
        <v>6</v>
      </c>
      <c r="B52" s="4" t="n">
        <v>46033</v>
      </c>
      <c r="C52" t="n">
        <v>1499</v>
      </c>
      <c r="D52" t="n">
        <v>1</v>
      </c>
    </row>
    <row r="53">
      <c r="A53" t="n">
        <v>6</v>
      </c>
      <c r="B53" s="4" t="n">
        <v>46035</v>
      </c>
      <c r="C53" t="n">
        <v>1499</v>
      </c>
      <c r="D53" t="n">
        <v>1</v>
      </c>
    </row>
    <row r="54">
      <c r="A54" t="n">
        <v>6</v>
      </c>
      <c r="B54" s="4" t="n">
        <v>46037</v>
      </c>
      <c r="C54" t="n">
        <v>49</v>
      </c>
      <c r="D54" t="n">
        <v>1</v>
      </c>
    </row>
    <row r="55">
      <c r="A55" t="n">
        <v>6</v>
      </c>
      <c r="B55" s="4" t="n">
        <v>46039</v>
      </c>
      <c r="C55" t="n">
        <v>799</v>
      </c>
      <c r="D55" t="n">
        <v>1</v>
      </c>
    </row>
    <row r="56">
      <c r="A56" t="n">
        <v>6</v>
      </c>
      <c r="B56" s="4" t="n">
        <v>46041</v>
      </c>
      <c r="C56" t="n">
        <v>49</v>
      </c>
      <c r="D56" t="n">
        <v>1</v>
      </c>
    </row>
    <row r="57">
      <c r="A57" t="n">
        <v>6</v>
      </c>
      <c r="B57" s="4" t="n">
        <v>46043</v>
      </c>
      <c r="C57" t="n">
        <v>49</v>
      </c>
      <c r="D57" t="n">
        <v>1</v>
      </c>
    </row>
    <row r="58">
      <c r="A58" t="n">
        <v>6</v>
      </c>
      <c r="B58" s="4" t="n">
        <v>46048</v>
      </c>
      <c r="C58" t="n">
        <v>897</v>
      </c>
      <c r="D58" t="n">
        <v>3</v>
      </c>
    </row>
    <row r="59">
      <c r="A59" t="n">
        <v>7</v>
      </c>
      <c r="B59" s="4" t="n">
        <v>46024</v>
      </c>
      <c r="C59" t="n">
        <v>3797</v>
      </c>
      <c r="D59" t="n">
        <v>3</v>
      </c>
    </row>
    <row r="60">
      <c r="A60" t="n">
        <v>7</v>
      </c>
      <c r="B60" s="4" t="n">
        <v>46025</v>
      </c>
      <c r="C60" t="n">
        <v>149</v>
      </c>
      <c r="D60" t="n">
        <v>1</v>
      </c>
    </row>
    <row r="61">
      <c r="A61" t="n">
        <v>7</v>
      </c>
      <c r="B61" s="4" t="n">
        <v>46027</v>
      </c>
      <c r="C61" t="n">
        <v>4498</v>
      </c>
      <c r="D61" t="n">
        <v>2</v>
      </c>
    </row>
    <row r="62">
      <c r="A62" t="n">
        <v>7</v>
      </c>
      <c r="B62" s="4" t="n">
        <v>46030</v>
      </c>
      <c r="C62" t="n">
        <v>299</v>
      </c>
      <c r="D62" t="n">
        <v>1</v>
      </c>
    </row>
    <row r="63">
      <c r="A63" t="n">
        <v>7</v>
      </c>
      <c r="B63" s="4" t="n">
        <v>46032</v>
      </c>
      <c r="C63" t="n">
        <v>499</v>
      </c>
      <c r="D63" t="n">
        <v>1</v>
      </c>
    </row>
    <row r="64">
      <c r="A64" t="n">
        <v>7</v>
      </c>
      <c r="B64" s="4" t="n">
        <v>46037</v>
      </c>
      <c r="C64" t="n">
        <v>1648</v>
      </c>
      <c r="D64" t="n">
        <v>2</v>
      </c>
    </row>
    <row r="65">
      <c r="A65" t="n">
        <v>7</v>
      </c>
      <c r="B65" s="4" t="n">
        <v>46039</v>
      </c>
      <c r="C65" t="n">
        <v>149</v>
      </c>
      <c r="D65" t="n">
        <v>1</v>
      </c>
    </row>
    <row r="66">
      <c r="A66" t="n">
        <v>7</v>
      </c>
      <c r="B66" s="4" t="n">
        <v>46043</v>
      </c>
      <c r="C66" t="n">
        <v>1499</v>
      </c>
      <c r="D66" t="n">
        <v>1</v>
      </c>
    </row>
    <row r="67">
      <c r="A67" t="n">
        <v>7</v>
      </c>
      <c r="B67" s="4" t="n">
        <v>46046</v>
      </c>
      <c r="C67" t="n">
        <v>1298</v>
      </c>
      <c r="D67" t="n">
        <v>2</v>
      </c>
    </row>
    <row r="68">
      <c r="A68" t="n">
        <v>7</v>
      </c>
      <c r="B68" s="4" t="n">
        <v>46047</v>
      </c>
      <c r="C68" t="n">
        <v>99</v>
      </c>
      <c r="D68" t="n">
        <v>1</v>
      </c>
    </row>
    <row r="69">
      <c r="A69" t="n">
        <v>7</v>
      </c>
      <c r="B69" s="4" t="n">
        <v>46052</v>
      </c>
      <c r="C69" t="n">
        <v>1999</v>
      </c>
      <c r="D69" t="n">
        <v>1</v>
      </c>
    </row>
    <row r="70">
      <c r="A70" t="n">
        <v>8</v>
      </c>
      <c r="B70" s="4" t="n">
        <v>46024</v>
      </c>
      <c r="C70" t="n">
        <v>299</v>
      </c>
      <c r="D70" t="n">
        <v>1</v>
      </c>
    </row>
    <row r="71">
      <c r="A71" t="n">
        <v>8</v>
      </c>
      <c r="B71" s="4" t="n">
        <v>46025</v>
      </c>
      <c r="C71" t="n">
        <v>299</v>
      </c>
      <c r="D71" t="n">
        <v>1</v>
      </c>
    </row>
    <row r="72">
      <c r="A72" t="n">
        <v>8</v>
      </c>
      <c r="B72" s="4" t="n">
        <v>46028</v>
      </c>
      <c r="C72" t="n">
        <v>49</v>
      </c>
      <c r="D72" t="n">
        <v>1</v>
      </c>
    </row>
    <row r="73">
      <c r="A73" t="n">
        <v>8</v>
      </c>
      <c r="B73" s="4" t="n">
        <v>46030</v>
      </c>
      <c r="C73" t="n">
        <v>99</v>
      </c>
      <c r="D73" t="n">
        <v>1</v>
      </c>
    </row>
    <row r="74">
      <c r="A74" t="n">
        <v>8</v>
      </c>
      <c r="B74" s="4" t="n">
        <v>46033</v>
      </c>
      <c r="C74" t="n">
        <v>149</v>
      </c>
      <c r="D74" t="n">
        <v>1</v>
      </c>
    </row>
    <row r="75">
      <c r="A75" t="n">
        <v>8</v>
      </c>
      <c r="B75" s="4" t="n">
        <v>46034</v>
      </c>
      <c r="C75" t="n">
        <v>398</v>
      </c>
      <c r="D75" t="n">
        <v>2</v>
      </c>
    </row>
    <row r="76">
      <c r="A76" t="n">
        <v>8</v>
      </c>
      <c r="B76" s="4" t="n">
        <v>46038</v>
      </c>
      <c r="C76" t="n">
        <v>2999</v>
      </c>
      <c r="D76" t="n">
        <v>1</v>
      </c>
    </row>
    <row r="77">
      <c r="A77" t="n">
        <v>8</v>
      </c>
      <c r="B77" s="4" t="n">
        <v>46039</v>
      </c>
      <c r="C77" t="n">
        <v>348</v>
      </c>
      <c r="D77" t="n">
        <v>2</v>
      </c>
    </row>
    <row r="78">
      <c r="A78" t="n">
        <v>8</v>
      </c>
      <c r="B78" s="4" t="n">
        <v>46040</v>
      </c>
      <c r="C78" t="n">
        <v>499</v>
      </c>
      <c r="D78" t="n">
        <v>1</v>
      </c>
    </row>
    <row r="79">
      <c r="A79" t="n">
        <v>8</v>
      </c>
      <c r="B79" s="4" t="n">
        <v>46041</v>
      </c>
      <c r="C79" t="n">
        <v>99</v>
      </c>
      <c r="D79" t="n">
        <v>1</v>
      </c>
    </row>
    <row r="80">
      <c r="A80" t="n">
        <v>8</v>
      </c>
      <c r="B80" s="4" t="n">
        <v>46048</v>
      </c>
      <c r="C80" t="n">
        <v>598</v>
      </c>
      <c r="D80" t="n">
        <v>2</v>
      </c>
    </row>
    <row r="81">
      <c r="A81" t="n">
        <v>8</v>
      </c>
      <c r="B81" s="4" t="n">
        <v>46049</v>
      </c>
      <c r="C81" t="n">
        <v>1499</v>
      </c>
      <c r="D81" t="n">
        <v>1</v>
      </c>
    </row>
    <row r="82">
      <c r="A82" t="n">
        <v>8</v>
      </c>
      <c r="B82" s="4" t="n">
        <v>46052</v>
      </c>
      <c r="C82" t="n">
        <v>99</v>
      </c>
      <c r="D82" t="n">
        <v>1</v>
      </c>
    </row>
    <row r="83">
      <c r="A83" t="n">
        <v>9</v>
      </c>
      <c r="B83" s="4" t="n">
        <v>46023</v>
      </c>
      <c r="C83" t="n">
        <v>499</v>
      </c>
      <c r="D83" t="n">
        <v>1</v>
      </c>
    </row>
    <row r="84">
      <c r="A84" t="n">
        <v>9</v>
      </c>
      <c r="B84" s="4" t="n">
        <v>46026</v>
      </c>
      <c r="C84" t="n">
        <v>499</v>
      </c>
      <c r="D84" t="n">
        <v>1</v>
      </c>
    </row>
    <row r="85">
      <c r="A85" t="n">
        <v>9</v>
      </c>
      <c r="B85" s="4" t="n">
        <v>46027</v>
      </c>
      <c r="C85" t="n">
        <v>149</v>
      </c>
      <c r="D85" t="n">
        <v>1</v>
      </c>
    </row>
    <row r="86">
      <c r="A86" t="n">
        <v>9</v>
      </c>
      <c r="B86" s="4" t="n">
        <v>46028</v>
      </c>
      <c r="C86" t="n">
        <v>149</v>
      </c>
      <c r="D86" t="n">
        <v>1</v>
      </c>
    </row>
    <row r="87">
      <c r="A87" t="n">
        <v>9</v>
      </c>
      <c r="B87" s="4" t="n">
        <v>46031</v>
      </c>
      <c r="C87" t="n">
        <v>99</v>
      </c>
      <c r="D87" t="n">
        <v>1</v>
      </c>
    </row>
    <row r="88">
      <c r="A88" t="n">
        <v>9</v>
      </c>
      <c r="B88" s="4" t="n">
        <v>46032</v>
      </c>
      <c r="C88" t="n">
        <v>49</v>
      </c>
      <c r="D88" t="n">
        <v>1</v>
      </c>
    </row>
    <row r="89">
      <c r="A89" t="n">
        <v>9</v>
      </c>
      <c r="B89" s="4" t="n">
        <v>46034</v>
      </c>
      <c r="C89" t="n">
        <v>299</v>
      </c>
      <c r="D89" t="n">
        <v>1</v>
      </c>
    </row>
    <row r="90">
      <c r="A90" t="n">
        <v>9</v>
      </c>
      <c r="B90" s="4" t="n">
        <v>46037</v>
      </c>
      <c r="C90" t="n">
        <v>148</v>
      </c>
      <c r="D90" t="n">
        <v>2</v>
      </c>
    </row>
    <row r="91">
      <c r="A91" t="n">
        <v>9</v>
      </c>
      <c r="B91" s="4" t="n">
        <v>46039</v>
      </c>
      <c r="C91" t="n">
        <v>248</v>
      </c>
      <c r="D91" t="n">
        <v>2</v>
      </c>
    </row>
    <row r="92">
      <c r="A92" t="n">
        <v>9</v>
      </c>
      <c r="B92" s="4" t="n">
        <v>46040</v>
      </c>
      <c r="C92" t="n">
        <v>299</v>
      </c>
      <c r="D92" t="n">
        <v>1</v>
      </c>
    </row>
    <row r="93">
      <c r="A93" t="n">
        <v>9</v>
      </c>
      <c r="B93" s="4" t="n">
        <v>46041</v>
      </c>
      <c r="C93" t="n">
        <v>299</v>
      </c>
      <c r="D93" t="n">
        <v>1</v>
      </c>
    </row>
    <row r="94">
      <c r="A94" t="n">
        <v>9</v>
      </c>
      <c r="B94" s="4" t="n">
        <v>46044</v>
      </c>
      <c r="C94" t="n">
        <v>1298</v>
      </c>
      <c r="D94" t="n">
        <v>2</v>
      </c>
    </row>
    <row r="95">
      <c r="A95" t="n">
        <v>9</v>
      </c>
      <c r="B95" s="4" t="n">
        <v>46045</v>
      </c>
      <c r="C95" t="n">
        <v>898</v>
      </c>
      <c r="D95" t="n">
        <v>2</v>
      </c>
    </row>
    <row r="96">
      <c r="A96" t="n">
        <v>9</v>
      </c>
      <c r="B96" s="4" t="n">
        <v>46051</v>
      </c>
      <c r="C96" t="n">
        <v>49</v>
      </c>
      <c r="D96" t="n">
        <v>1</v>
      </c>
    </row>
    <row r="97">
      <c r="A97" t="n">
        <v>10</v>
      </c>
      <c r="B97" s="4" t="n">
        <v>46027</v>
      </c>
      <c r="C97" t="n">
        <v>49</v>
      </c>
      <c r="D97" t="n">
        <v>1</v>
      </c>
    </row>
    <row r="98">
      <c r="A98" t="n">
        <v>10</v>
      </c>
      <c r="B98" s="4" t="n">
        <v>46030</v>
      </c>
      <c r="C98" t="n">
        <v>799</v>
      </c>
      <c r="D98" t="n">
        <v>1</v>
      </c>
    </row>
    <row r="99">
      <c r="A99" t="n">
        <v>10</v>
      </c>
      <c r="B99" s="4" t="n">
        <v>46033</v>
      </c>
      <c r="C99" t="n">
        <v>98</v>
      </c>
      <c r="D99" t="n">
        <v>2</v>
      </c>
    </row>
    <row r="100">
      <c r="A100" t="n">
        <v>10</v>
      </c>
      <c r="B100" s="4" t="n">
        <v>46034</v>
      </c>
      <c r="C100" t="n">
        <v>399</v>
      </c>
      <c r="D100" t="n">
        <v>1</v>
      </c>
    </row>
    <row r="101">
      <c r="A101" t="n">
        <v>10</v>
      </c>
      <c r="B101" s="4" t="n">
        <v>46035</v>
      </c>
      <c r="C101" t="n">
        <v>1499</v>
      </c>
      <c r="D101" t="n">
        <v>1</v>
      </c>
    </row>
    <row r="102">
      <c r="A102" t="n">
        <v>10</v>
      </c>
      <c r="B102" s="4" t="n">
        <v>46036</v>
      </c>
      <c r="C102" t="n">
        <v>499</v>
      </c>
      <c r="D102" t="n">
        <v>1</v>
      </c>
    </row>
    <row r="103">
      <c r="A103" t="n">
        <v>10</v>
      </c>
      <c r="B103" s="4" t="n">
        <v>46037</v>
      </c>
      <c r="C103" t="n">
        <v>2999</v>
      </c>
      <c r="D103" t="n">
        <v>1</v>
      </c>
    </row>
    <row r="104">
      <c r="A104" t="n">
        <v>10</v>
      </c>
      <c r="B104" s="4" t="n">
        <v>46038</v>
      </c>
      <c r="C104" t="n">
        <v>49</v>
      </c>
      <c r="D104" t="n">
        <v>1</v>
      </c>
    </row>
    <row r="105">
      <c r="A105" t="n">
        <v>10</v>
      </c>
      <c r="B105" s="4" t="n">
        <v>46041</v>
      </c>
      <c r="C105" t="n">
        <v>499</v>
      </c>
      <c r="D105" t="n">
        <v>1</v>
      </c>
    </row>
    <row r="106">
      <c r="A106" t="n">
        <v>10</v>
      </c>
      <c r="B106" s="4" t="n">
        <v>46042</v>
      </c>
      <c r="C106" t="n">
        <v>4999</v>
      </c>
      <c r="D106" t="n">
        <v>1</v>
      </c>
    </row>
    <row r="107">
      <c r="A107" t="n">
        <v>10</v>
      </c>
      <c r="B107" s="4" t="n">
        <v>46043</v>
      </c>
      <c r="C107" t="n">
        <v>398</v>
      </c>
      <c r="D107" t="n">
        <v>2</v>
      </c>
    </row>
    <row r="108">
      <c r="A108" t="n">
        <v>10</v>
      </c>
      <c r="B108" s="4" t="n">
        <v>46051</v>
      </c>
      <c r="C108" t="n">
        <v>799</v>
      </c>
      <c r="D108" t="n">
        <v>1</v>
      </c>
    </row>
    <row r="109">
      <c r="A109" t="n">
        <v>11</v>
      </c>
      <c r="B109" s="4" t="n">
        <v>46026</v>
      </c>
      <c r="C109" t="n">
        <v>1499</v>
      </c>
      <c r="D109" t="n">
        <v>1</v>
      </c>
    </row>
    <row r="110">
      <c r="A110" t="n">
        <v>11</v>
      </c>
      <c r="B110" s="4" t="n">
        <v>46028</v>
      </c>
      <c r="C110" t="n">
        <v>1499</v>
      </c>
      <c r="D110" t="n">
        <v>1</v>
      </c>
    </row>
    <row r="111">
      <c r="A111" t="n">
        <v>11</v>
      </c>
      <c r="B111" s="4" t="n">
        <v>46029</v>
      </c>
      <c r="C111" t="n">
        <v>49</v>
      </c>
      <c r="D111" t="n">
        <v>1</v>
      </c>
    </row>
    <row r="112">
      <c r="A112" t="n">
        <v>11</v>
      </c>
      <c r="B112" s="4" t="n">
        <v>46033</v>
      </c>
      <c r="C112" t="n">
        <v>4999</v>
      </c>
      <c r="D112" t="n">
        <v>1</v>
      </c>
    </row>
    <row r="113">
      <c r="A113" t="n">
        <v>11</v>
      </c>
      <c r="B113" s="4" t="n">
        <v>46040</v>
      </c>
      <c r="C113" t="n">
        <v>499</v>
      </c>
      <c r="D113" t="n">
        <v>1</v>
      </c>
    </row>
    <row r="114">
      <c r="A114" t="n">
        <v>11</v>
      </c>
      <c r="B114" s="4" t="n">
        <v>46042</v>
      </c>
      <c r="C114" t="n">
        <v>299</v>
      </c>
      <c r="D114" t="n">
        <v>1</v>
      </c>
    </row>
    <row r="115">
      <c r="A115" t="n">
        <v>11</v>
      </c>
      <c r="B115" s="4" t="n">
        <v>46043</v>
      </c>
      <c r="C115" t="n">
        <v>149</v>
      </c>
      <c r="D115" t="n">
        <v>1</v>
      </c>
    </row>
    <row r="116">
      <c r="A116" t="n">
        <v>11</v>
      </c>
      <c r="B116" s="4" t="n">
        <v>46046</v>
      </c>
      <c r="C116" t="n">
        <v>1798</v>
      </c>
      <c r="D116" t="n">
        <v>2</v>
      </c>
    </row>
    <row r="117">
      <c r="A117" t="n">
        <v>11</v>
      </c>
      <c r="B117" s="4" t="n">
        <v>46051</v>
      </c>
      <c r="C117" t="n">
        <v>149</v>
      </c>
      <c r="D117" t="n">
        <v>1</v>
      </c>
    </row>
    <row r="118">
      <c r="A118" t="n">
        <v>12</v>
      </c>
      <c r="B118" s="4" t="n">
        <v>46023</v>
      </c>
      <c r="C118" t="n">
        <v>548</v>
      </c>
      <c r="D118" t="n">
        <v>2</v>
      </c>
    </row>
    <row r="119">
      <c r="A119" t="n">
        <v>12</v>
      </c>
      <c r="B119" s="4" t="n">
        <v>46031</v>
      </c>
      <c r="C119" t="n">
        <v>799</v>
      </c>
      <c r="D119" t="n">
        <v>1</v>
      </c>
    </row>
    <row r="120">
      <c r="A120" t="n">
        <v>12</v>
      </c>
      <c r="B120" s="4" t="n">
        <v>46034</v>
      </c>
      <c r="C120" t="n">
        <v>1998</v>
      </c>
      <c r="D120" t="n">
        <v>2</v>
      </c>
    </row>
    <row r="121">
      <c r="A121" t="n">
        <v>12</v>
      </c>
      <c r="B121" s="4" t="n">
        <v>46036</v>
      </c>
      <c r="C121" t="n">
        <v>548</v>
      </c>
      <c r="D121" t="n">
        <v>2</v>
      </c>
    </row>
    <row r="122">
      <c r="A122" t="n">
        <v>12</v>
      </c>
      <c r="B122" s="4" t="n">
        <v>46040</v>
      </c>
      <c r="C122" t="n">
        <v>799</v>
      </c>
      <c r="D122" t="n">
        <v>1</v>
      </c>
    </row>
    <row r="123">
      <c r="A123" t="n">
        <v>12</v>
      </c>
      <c r="B123" s="4" t="n">
        <v>46044</v>
      </c>
      <c r="C123" t="n">
        <v>99</v>
      </c>
      <c r="D123" t="n">
        <v>1</v>
      </c>
    </row>
    <row r="124">
      <c r="A124" t="n">
        <v>12</v>
      </c>
      <c r="B124" s="4" t="n">
        <v>46045</v>
      </c>
      <c r="C124" t="n">
        <v>448</v>
      </c>
      <c r="D124" t="n">
        <v>2</v>
      </c>
    </row>
    <row r="125">
      <c r="A125" t="n">
        <v>12</v>
      </c>
      <c r="B125" s="4" t="n">
        <v>46049</v>
      </c>
      <c r="C125" t="n">
        <v>149</v>
      </c>
      <c r="D125" t="n">
        <v>1</v>
      </c>
    </row>
    <row r="126">
      <c r="A126" t="n">
        <v>12</v>
      </c>
      <c r="B126" s="4" t="n">
        <v>46052</v>
      </c>
      <c r="C126" t="n">
        <v>4999</v>
      </c>
      <c r="D126" t="n">
        <v>1</v>
      </c>
    </row>
    <row r="127">
      <c r="A127" t="n">
        <v>13</v>
      </c>
      <c r="B127" s="4" t="n">
        <v>46030</v>
      </c>
      <c r="C127" t="n">
        <v>149</v>
      </c>
      <c r="D127" t="n">
        <v>1</v>
      </c>
    </row>
    <row r="128">
      <c r="A128" t="n">
        <v>13</v>
      </c>
      <c r="B128" s="4" t="n">
        <v>46031</v>
      </c>
      <c r="C128" t="n">
        <v>198</v>
      </c>
      <c r="D128" t="n">
        <v>2</v>
      </c>
    </row>
    <row r="129">
      <c r="A129" t="n">
        <v>13</v>
      </c>
      <c r="B129" s="4" t="n">
        <v>46032</v>
      </c>
      <c r="C129" t="n">
        <v>99</v>
      </c>
      <c r="D129" t="n">
        <v>1</v>
      </c>
    </row>
    <row r="130">
      <c r="A130" t="n">
        <v>13</v>
      </c>
      <c r="B130" s="4" t="n">
        <v>46036</v>
      </c>
      <c r="C130" t="n">
        <v>1499</v>
      </c>
      <c r="D130" t="n">
        <v>1</v>
      </c>
    </row>
    <row r="131">
      <c r="A131" t="n">
        <v>13</v>
      </c>
      <c r="B131" s="4" t="n">
        <v>46037</v>
      </c>
      <c r="C131" t="n">
        <v>49</v>
      </c>
      <c r="D131" t="n">
        <v>1</v>
      </c>
    </row>
    <row r="132">
      <c r="A132" t="n">
        <v>13</v>
      </c>
      <c r="B132" s="4" t="n">
        <v>46042</v>
      </c>
      <c r="C132" t="n">
        <v>4999</v>
      </c>
      <c r="D132" t="n">
        <v>1</v>
      </c>
    </row>
    <row r="133">
      <c r="A133" t="n">
        <v>13</v>
      </c>
      <c r="B133" s="4" t="n">
        <v>46043</v>
      </c>
      <c r="C133" t="n">
        <v>4999</v>
      </c>
      <c r="D133" t="n">
        <v>1</v>
      </c>
    </row>
    <row r="134">
      <c r="A134" t="n">
        <v>13</v>
      </c>
      <c r="B134" s="4" t="n">
        <v>46046</v>
      </c>
      <c r="C134" t="n">
        <v>2999</v>
      </c>
      <c r="D134" t="n">
        <v>1</v>
      </c>
    </row>
    <row r="135">
      <c r="A135" t="n">
        <v>13</v>
      </c>
      <c r="B135" s="4" t="n">
        <v>46048</v>
      </c>
      <c r="C135" t="n">
        <v>299</v>
      </c>
      <c r="D135" t="n">
        <v>1</v>
      </c>
    </row>
    <row r="136">
      <c r="A136" t="n">
        <v>13</v>
      </c>
      <c r="B136" s="4" t="n">
        <v>46049</v>
      </c>
      <c r="C136" t="n">
        <v>99</v>
      </c>
      <c r="D136" t="n">
        <v>1</v>
      </c>
    </row>
    <row r="137">
      <c r="A137" t="n">
        <v>13</v>
      </c>
      <c r="B137" s="4" t="n">
        <v>46050</v>
      </c>
      <c r="C137" t="n">
        <v>2999</v>
      </c>
      <c r="D137" t="n">
        <v>1</v>
      </c>
    </row>
    <row r="138">
      <c r="A138" t="n">
        <v>14</v>
      </c>
      <c r="B138" s="4" t="n">
        <v>46023</v>
      </c>
      <c r="C138" t="n">
        <v>299</v>
      </c>
      <c r="D138" t="n">
        <v>1</v>
      </c>
    </row>
    <row r="139">
      <c r="A139" t="n">
        <v>14</v>
      </c>
      <c r="B139" s="4" t="n">
        <v>46024</v>
      </c>
      <c r="C139" t="n">
        <v>1499</v>
      </c>
      <c r="D139" t="n">
        <v>1</v>
      </c>
    </row>
    <row r="140">
      <c r="A140" t="n">
        <v>14</v>
      </c>
      <c r="B140" s="4" t="n">
        <v>46025</v>
      </c>
      <c r="C140" t="n">
        <v>149</v>
      </c>
      <c r="D140" t="n">
        <v>1</v>
      </c>
    </row>
    <row r="141">
      <c r="A141" t="n">
        <v>14</v>
      </c>
      <c r="B141" s="4" t="n">
        <v>46026</v>
      </c>
      <c r="C141" t="n">
        <v>99</v>
      </c>
      <c r="D141" t="n">
        <v>1</v>
      </c>
    </row>
    <row r="142">
      <c r="A142" t="n">
        <v>14</v>
      </c>
      <c r="B142" s="4" t="n">
        <v>46027</v>
      </c>
      <c r="C142" t="n">
        <v>1499</v>
      </c>
      <c r="D142" t="n">
        <v>1</v>
      </c>
    </row>
    <row r="143">
      <c r="A143" t="n">
        <v>14</v>
      </c>
      <c r="B143" s="4" t="n">
        <v>46029</v>
      </c>
      <c r="C143" t="n">
        <v>49</v>
      </c>
      <c r="D143" t="n">
        <v>1</v>
      </c>
    </row>
    <row r="144">
      <c r="A144" t="n">
        <v>14</v>
      </c>
      <c r="B144" s="4" t="n">
        <v>46030</v>
      </c>
      <c r="C144" t="n">
        <v>799</v>
      </c>
      <c r="D144" t="n">
        <v>1</v>
      </c>
    </row>
    <row r="145">
      <c r="A145" t="n">
        <v>14</v>
      </c>
      <c r="B145" s="4" t="n">
        <v>46040</v>
      </c>
      <c r="C145" t="n">
        <v>99</v>
      </c>
      <c r="D145" t="n">
        <v>1</v>
      </c>
    </row>
    <row r="146">
      <c r="A146" t="n">
        <v>14</v>
      </c>
      <c r="B146" s="4" t="n">
        <v>46041</v>
      </c>
      <c r="C146" t="n">
        <v>99</v>
      </c>
      <c r="D146" t="n">
        <v>1</v>
      </c>
    </row>
    <row r="147">
      <c r="A147" t="n">
        <v>14</v>
      </c>
      <c r="B147" s="4" t="n">
        <v>46042</v>
      </c>
      <c r="C147" t="n">
        <v>299</v>
      </c>
      <c r="D147" t="n">
        <v>1</v>
      </c>
    </row>
    <row r="148">
      <c r="A148" t="n">
        <v>14</v>
      </c>
      <c r="B148" s="4" t="n">
        <v>46047</v>
      </c>
      <c r="C148" t="n">
        <v>1598</v>
      </c>
      <c r="D148" t="n">
        <v>2</v>
      </c>
    </row>
    <row r="149">
      <c r="A149" t="n">
        <v>15</v>
      </c>
      <c r="B149" s="4" t="n">
        <v>46023</v>
      </c>
      <c r="C149" t="n">
        <v>499</v>
      </c>
      <c r="D149" t="n">
        <v>1</v>
      </c>
    </row>
    <row r="150">
      <c r="A150" t="n">
        <v>15</v>
      </c>
      <c r="B150" s="4" t="n">
        <v>46029</v>
      </c>
      <c r="C150" t="n">
        <v>49</v>
      </c>
      <c r="D150" t="n">
        <v>1</v>
      </c>
    </row>
    <row r="151">
      <c r="A151" t="n">
        <v>15</v>
      </c>
      <c r="B151" s="4" t="n">
        <v>46032</v>
      </c>
      <c r="C151" t="n">
        <v>49</v>
      </c>
      <c r="D151" t="n">
        <v>1</v>
      </c>
    </row>
    <row r="152">
      <c r="A152" t="n">
        <v>15</v>
      </c>
      <c r="B152" s="4" t="n">
        <v>46035</v>
      </c>
      <c r="C152" t="n">
        <v>299</v>
      </c>
      <c r="D152" t="n">
        <v>1</v>
      </c>
    </row>
    <row r="153">
      <c r="A153" t="n">
        <v>15</v>
      </c>
      <c r="B153" s="4" t="n">
        <v>46036</v>
      </c>
      <c r="C153" t="n">
        <v>399</v>
      </c>
      <c r="D153" t="n">
        <v>1</v>
      </c>
    </row>
    <row r="154">
      <c r="A154" t="n">
        <v>15</v>
      </c>
      <c r="B154" s="4" t="n">
        <v>46041</v>
      </c>
      <c r="C154" t="n">
        <v>499</v>
      </c>
      <c r="D154" t="n">
        <v>1</v>
      </c>
    </row>
    <row r="155">
      <c r="A155" t="n">
        <v>15</v>
      </c>
      <c r="B155" s="4" t="n">
        <v>46046</v>
      </c>
      <c r="C155" t="n">
        <v>148</v>
      </c>
      <c r="D155" t="n">
        <v>2</v>
      </c>
    </row>
    <row r="156">
      <c r="A156" t="n">
        <v>15</v>
      </c>
      <c r="B156" s="4" t="n">
        <v>46048</v>
      </c>
      <c r="C156" t="n">
        <v>4999</v>
      </c>
      <c r="D156" t="n">
        <v>1</v>
      </c>
    </row>
    <row r="157">
      <c r="A157" t="n">
        <v>15</v>
      </c>
      <c r="B157" s="4" t="n">
        <v>46049</v>
      </c>
      <c r="C157" t="n">
        <v>799</v>
      </c>
      <c r="D157" t="n">
        <v>1</v>
      </c>
    </row>
    <row r="158">
      <c r="A158" t="n">
        <v>15</v>
      </c>
      <c r="B158" s="4" t="n">
        <v>46051</v>
      </c>
      <c r="C158" t="n">
        <v>98</v>
      </c>
      <c r="D158" t="n">
        <v>2</v>
      </c>
    </row>
    <row r="159">
      <c r="A159" t="n">
        <v>16</v>
      </c>
      <c r="B159" s="4" t="n">
        <v>46024</v>
      </c>
      <c r="C159" t="n">
        <v>499</v>
      </c>
      <c r="D159" t="n">
        <v>1</v>
      </c>
    </row>
    <row r="160">
      <c r="A160" t="n">
        <v>16</v>
      </c>
      <c r="B160" s="4" t="n">
        <v>46025</v>
      </c>
      <c r="C160" t="n">
        <v>99</v>
      </c>
      <c r="D160" t="n">
        <v>1</v>
      </c>
    </row>
    <row r="161">
      <c r="A161" t="n">
        <v>16</v>
      </c>
      <c r="B161" s="4" t="n">
        <v>46026</v>
      </c>
      <c r="C161" t="n">
        <v>49</v>
      </c>
      <c r="D161" t="n">
        <v>1</v>
      </c>
    </row>
    <row r="162">
      <c r="A162" t="n">
        <v>16</v>
      </c>
      <c r="B162" s="4" t="n">
        <v>46027</v>
      </c>
      <c r="C162" t="n">
        <v>149</v>
      </c>
      <c r="D162" t="n">
        <v>1</v>
      </c>
    </row>
    <row r="163">
      <c r="A163" t="n">
        <v>16</v>
      </c>
      <c r="B163" s="4" t="n">
        <v>46033</v>
      </c>
      <c r="C163" t="n">
        <v>499</v>
      </c>
      <c r="D163" t="n">
        <v>1</v>
      </c>
    </row>
    <row r="164">
      <c r="A164" t="n">
        <v>16</v>
      </c>
      <c r="B164" s="4" t="n">
        <v>46037</v>
      </c>
      <c r="C164" t="n">
        <v>2999</v>
      </c>
      <c r="D164" t="n">
        <v>1</v>
      </c>
    </row>
    <row r="165">
      <c r="A165" t="n">
        <v>16</v>
      </c>
      <c r="B165" s="4" t="n">
        <v>46040</v>
      </c>
      <c r="C165" t="n">
        <v>49</v>
      </c>
      <c r="D165" t="n">
        <v>1</v>
      </c>
    </row>
    <row r="166">
      <c r="A166" t="n">
        <v>16</v>
      </c>
      <c r="B166" s="4" t="n">
        <v>46042</v>
      </c>
      <c r="C166" t="n">
        <v>448</v>
      </c>
      <c r="D166" t="n">
        <v>2</v>
      </c>
    </row>
    <row r="167">
      <c r="A167" t="n">
        <v>16</v>
      </c>
      <c r="B167" s="4" t="n">
        <v>46045</v>
      </c>
      <c r="C167" t="n">
        <v>399</v>
      </c>
      <c r="D167" t="n">
        <v>1</v>
      </c>
    </row>
    <row r="168">
      <c r="A168" t="n">
        <v>16</v>
      </c>
      <c r="B168" s="4" t="n">
        <v>46046</v>
      </c>
      <c r="C168" t="n">
        <v>1548</v>
      </c>
      <c r="D168" t="n">
        <v>2</v>
      </c>
    </row>
    <row r="169">
      <c r="A169" t="n">
        <v>16</v>
      </c>
      <c r="B169" s="4" t="n">
        <v>46047</v>
      </c>
      <c r="C169" t="n">
        <v>98</v>
      </c>
      <c r="D169" t="n">
        <v>2</v>
      </c>
    </row>
    <row r="170">
      <c r="A170" t="n">
        <v>16</v>
      </c>
      <c r="B170" s="4" t="n">
        <v>46049</v>
      </c>
      <c r="C170" t="n">
        <v>348</v>
      </c>
      <c r="D170" t="n">
        <v>2</v>
      </c>
    </row>
    <row r="171">
      <c r="A171" t="n">
        <v>16</v>
      </c>
      <c r="B171" s="4" t="n">
        <v>46050</v>
      </c>
      <c r="C171" t="n">
        <v>49</v>
      </c>
      <c r="D171" t="n">
        <v>1</v>
      </c>
    </row>
    <row r="172">
      <c r="A172" t="n">
        <v>16</v>
      </c>
      <c r="B172" s="4" t="n">
        <v>46051</v>
      </c>
      <c r="C172" t="n">
        <v>2999</v>
      </c>
      <c r="D172" t="n">
        <v>1</v>
      </c>
    </row>
    <row r="173">
      <c r="A173" t="n">
        <v>16</v>
      </c>
      <c r="B173" s="4" t="n">
        <v>46052</v>
      </c>
      <c r="C173" t="n">
        <v>898</v>
      </c>
      <c r="D173" t="n">
        <v>2</v>
      </c>
    </row>
    <row r="174">
      <c r="A174" t="n">
        <v>17</v>
      </c>
      <c r="B174" s="4" t="n">
        <v>46023</v>
      </c>
      <c r="C174" t="n">
        <v>1499</v>
      </c>
      <c r="D174" t="n">
        <v>1</v>
      </c>
    </row>
    <row r="175">
      <c r="A175" t="n">
        <v>17</v>
      </c>
      <c r="B175" s="4" t="n">
        <v>46024</v>
      </c>
      <c r="C175" t="n">
        <v>299</v>
      </c>
      <c r="D175" t="n">
        <v>1</v>
      </c>
    </row>
    <row r="176">
      <c r="A176" t="n">
        <v>17</v>
      </c>
      <c r="B176" s="4" t="n">
        <v>46025</v>
      </c>
      <c r="C176" t="n">
        <v>398</v>
      </c>
      <c r="D176" t="n">
        <v>2</v>
      </c>
    </row>
    <row r="177">
      <c r="A177" t="n">
        <v>17</v>
      </c>
      <c r="B177" s="4" t="n">
        <v>46033</v>
      </c>
      <c r="C177" t="n">
        <v>7998</v>
      </c>
      <c r="D177" t="n">
        <v>2</v>
      </c>
    </row>
    <row r="178">
      <c r="A178" t="n">
        <v>17</v>
      </c>
      <c r="B178" s="4" t="n">
        <v>46034</v>
      </c>
      <c r="C178" t="n">
        <v>1499</v>
      </c>
      <c r="D178" t="n">
        <v>1</v>
      </c>
    </row>
    <row r="179">
      <c r="A179" t="n">
        <v>17</v>
      </c>
      <c r="B179" s="4" t="n">
        <v>46039</v>
      </c>
      <c r="C179" t="n">
        <v>299</v>
      </c>
      <c r="D179" t="n">
        <v>1</v>
      </c>
    </row>
    <row r="180">
      <c r="A180" t="n">
        <v>17</v>
      </c>
      <c r="B180" s="4" t="n">
        <v>46040</v>
      </c>
      <c r="C180" t="n">
        <v>198</v>
      </c>
      <c r="D180" t="n">
        <v>2</v>
      </c>
    </row>
    <row r="181">
      <c r="A181" t="n">
        <v>17</v>
      </c>
      <c r="B181" s="4" t="n">
        <v>46041</v>
      </c>
      <c r="C181" t="n">
        <v>49</v>
      </c>
      <c r="D181" t="n">
        <v>1</v>
      </c>
    </row>
    <row r="182">
      <c r="A182" t="n">
        <v>17</v>
      </c>
      <c r="B182" s="4" t="n">
        <v>46050</v>
      </c>
      <c r="C182" t="n">
        <v>299</v>
      </c>
      <c r="D182" t="n">
        <v>1</v>
      </c>
    </row>
    <row r="183">
      <c r="A183" t="n">
        <v>17</v>
      </c>
      <c r="B183" s="4" t="n">
        <v>46052</v>
      </c>
      <c r="C183" t="n">
        <v>499</v>
      </c>
      <c r="D183" t="n">
        <v>1</v>
      </c>
    </row>
    <row r="184">
      <c r="A184" t="n">
        <v>18</v>
      </c>
      <c r="B184" s="4" t="n">
        <v>46028</v>
      </c>
      <c r="C184" t="n">
        <v>499</v>
      </c>
      <c r="D184" t="n">
        <v>1</v>
      </c>
    </row>
    <row r="185">
      <c r="A185" t="n">
        <v>18</v>
      </c>
      <c r="B185" s="4" t="n">
        <v>46033</v>
      </c>
      <c r="C185" t="n">
        <v>799</v>
      </c>
      <c r="D185" t="n">
        <v>1</v>
      </c>
    </row>
    <row r="186">
      <c r="A186" t="n">
        <v>18</v>
      </c>
      <c r="B186" s="4" t="n">
        <v>46034</v>
      </c>
      <c r="C186" t="n">
        <v>49</v>
      </c>
      <c r="D186" t="n">
        <v>1</v>
      </c>
    </row>
    <row r="187">
      <c r="A187" t="n">
        <v>18</v>
      </c>
      <c r="B187" s="4" t="n">
        <v>46036</v>
      </c>
      <c r="C187" t="n">
        <v>149</v>
      </c>
      <c r="D187" t="n">
        <v>1</v>
      </c>
    </row>
    <row r="188">
      <c r="A188" t="n">
        <v>18</v>
      </c>
      <c r="B188" s="4" t="n">
        <v>46037</v>
      </c>
      <c r="C188" t="n">
        <v>149</v>
      </c>
      <c r="D188" t="n">
        <v>1</v>
      </c>
    </row>
    <row r="189">
      <c r="A189" t="n">
        <v>18</v>
      </c>
      <c r="B189" s="4" t="n">
        <v>46038</v>
      </c>
      <c r="C189" t="n">
        <v>3148</v>
      </c>
      <c r="D189" t="n">
        <v>2</v>
      </c>
    </row>
    <row r="190">
      <c r="A190" t="n">
        <v>18</v>
      </c>
      <c r="B190" s="4" t="n">
        <v>46040</v>
      </c>
      <c r="C190" t="n">
        <v>499</v>
      </c>
      <c r="D190" t="n">
        <v>1</v>
      </c>
    </row>
    <row r="191">
      <c r="A191" t="n">
        <v>18</v>
      </c>
      <c r="B191" s="4" t="n">
        <v>46042</v>
      </c>
      <c r="C191" t="n">
        <v>149</v>
      </c>
      <c r="D191" t="n">
        <v>1</v>
      </c>
    </row>
    <row r="192">
      <c r="A192" t="n">
        <v>18</v>
      </c>
      <c r="B192" s="4" t="n">
        <v>46047</v>
      </c>
      <c r="C192" t="n">
        <v>1648</v>
      </c>
      <c r="D192" t="n">
        <v>2</v>
      </c>
    </row>
    <row r="193">
      <c r="A193" t="n">
        <v>19</v>
      </c>
      <c r="B193" s="4" t="n">
        <v>46024</v>
      </c>
      <c r="C193" t="n">
        <v>149</v>
      </c>
      <c r="D193" t="n">
        <v>1</v>
      </c>
    </row>
    <row r="194">
      <c r="A194" t="n">
        <v>19</v>
      </c>
      <c r="B194" s="4" t="n">
        <v>46028</v>
      </c>
      <c r="C194" t="n">
        <v>499</v>
      </c>
      <c r="D194" t="n">
        <v>1</v>
      </c>
    </row>
    <row r="195">
      <c r="A195" t="n">
        <v>19</v>
      </c>
      <c r="B195" s="4" t="n">
        <v>46031</v>
      </c>
      <c r="C195" t="n">
        <v>99</v>
      </c>
      <c r="D195" t="n">
        <v>1</v>
      </c>
    </row>
    <row r="196">
      <c r="A196" t="n">
        <v>19</v>
      </c>
      <c r="B196" s="4" t="n">
        <v>46032</v>
      </c>
      <c r="C196" t="n">
        <v>2999</v>
      </c>
      <c r="D196" t="n">
        <v>1</v>
      </c>
    </row>
    <row r="197">
      <c r="A197" t="n">
        <v>19</v>
      </c>
      <c r="B197" s="4" t="n">
        <v>46037</v>
      </c>
      <c r="C197" t="n">
        <v>398</v>
      </c>
      <c r="D197" t="n">
        <v>2</v>
      </c>
    </row>
    <row r="198">
      <c r="A198" t="n">
        <v>19</v>
      </c>
      <c r="B198" s="4" t="n">
        <v>46038</v>
      </c>
      <c r="C198" t="n">
        <v>4999</v>
      </c>
      <c r="D198" t="n">
        <v>1</v>
      </c>
    </row>
    <row r="199">
      <c r="A199" t="n">
        <v>19</v>
      </c>
      <c r="B199" s="4" t="n">
        <v>46041</v>
      </c>
      <c r="C199" t="n">
        <v>99</v>
      </c>
      <c r="D199" t="n">
        <v>1</v>
      </c>
    </row>
    <row r="200">
      <c r="A200" t="n">
        <v>19</v>
      </c>
      <c r="B200" s="4" t="n">
        <v>46042</v>
      </c>
      <c r="C200" t="n">
        <v>348</v>
      </c>
      <c r="D200" t="n">
        <v>2</v>
      </c>
    </row>
    <row r="201">
      <c r="A201" t="n">
        <v>19</v>
      </c>
      <c r="B201" s="4" t="n">
        <v>46044</v>
      </c>
      <c r="C201" t="n">
        <v>2999</v>
      </c>
      <c r="D201" t="n">
        <v>1</v>
      </c>
    </row>
    <row r="202">
      <c r="A202" t="n">
        <v>19</v>
      </c>
      <c r="B202" s="4" t="n">
        <v>46046</v>
      </c>
      <c r="C202" t="n">
        <v>149</v>
      </c>
      <c r="D202" t="n">
        <v>1</v>
      </c>
    </row>
    <row r="203">
      <c r="A203" t="n">
        <v>19</v>
      </c>
      <c r="B203" s="4" t="n">
        <v>46047</v>
      </c>
      <c r="C203" t="n">
        <v>49</v>
      </c>
      <c r="D203" t="n">
        <v>1</v>
      </c>
    </row>
    <row r="204">
      <c r="A204" t="n">
        <v>19</v>
      </c>
      <c r="B204" s="4" t="n">
        <v>46048</v>
      </c>
      <c r="C204" t="n">
        <v>49</v>
      </c>
      <c r="D204" t="n">
        <v>1</v>
      </c>
    </row>
    <row r="205">
      <c r="A205" t="n">
        <v>20</v>
      </c>
      <c r="B205" s="4" t="n">
        <v>46024</v>
      </c>
      <c r="C205" t="n">
        <v>49</v>
      </c>
      <c r="D205" t="n">
        <v>1</v>
      </c>
    </row>
    <row r="206">
      <c r="A206" t="n">
        <v>20</v>
      </c>
      <c r="B206" s="4" t="n">
        <v>46025</v>
      </c>
      <c r="C206" t="n">
        <v>348</v>
      </c>
      <c r="D206" t="n">
        <v>2</v>
      </c>
    </row>
    <row r="207">
      <c r="A207" t="n">
        <v>20</v>
      </c>
      <c r="B207" s="4" t="n">
        <v>46026</v>
      </c>
      <c r="C207" t="n">
        <v>2999</v>
      </c>
      <c r="D207" t="n">
        <v>1</v>
      </c>
    </row>
    <row r="208">
      <c r="A208" t="n">
        <v>20</v>
      </c>
      <c r="B208" s="4" t="n">
        <v>46032</v>
      </c>
      <c r="C208" t="n">
        <v>149</v>
      </c>
      <c r="D208" t="n">
        <v>1</v>
      </c>
    </row>
    <row r="209">
      <c r="A209" t="n">
        <v>20</v>
      </c>
      <c r="B209" s="4" t="n">
        <v>46043</v>
      </c>
      <c r="C209" t="n">
        <v>99</v>
      </c>
      <c r="D209" t="n">
        <v>1</v>
      </c>
    </row>
    <row r="210">
      <c r="A210" t="n">
        <v>20</v>
      </c>
      <c r="B210" s="4" t="n">
        <v>46045</v>
      </c>
      <c r="C210" t="n">
        <v>49</v>
      </c>
      <c r="D210" t="n">
        <v>1</v>
      </c>
    </row>
    <row r="211">
      <c r="A211" t="n">
        <v>20</v>
      </c>
      <c r="B211" s="4" t="n">
        <v>46046</v>
      </c>
      <c r="C211" t="n">
        <v>49</v>
      </c>
      <c r="D211" t="n">
        <v>1</v>
      </c>
    </row>
    <row r="212">
      <c r="A212" t="n">
        <v>20</v>
      </c>
      <c r="B212" s="4" t="n">
        <v>46051</v>
      </c>
      <c r="C212" t="n">
        <v>499</v>
      </c>
      <c r="D212" t="n">
        <v>1</v>
      </c>
    </row>
    <row r="213">
      <c r="A213" t="n">
        <v>21</v>
      </c>
      <c r="B213" s="4" t="n">
        <v>46023</v>
      </c>
      <c r="C213" t="n">
        <v>5298</v>
      </c>
      <c r="D213" t="n">
        <v>2</v>
      </c>
    </row>
    <row r="214">
      <c r="A214" t="n">
        <v>21</v>
      </c>
      <c r="B214" s="4" t="n">
        <v>46027</v>
      </c>
      <c r="C214" t="n">
        <v>499</v>
      </c>
      <c r="D214" t="n">
        <v>1</v>
      </c>
    </row>
    <row r="215">
      <c r="A215" t="n">
        <v>21</v>
      </c>
      <c r="B215" s="4" t="n">
        <v>46031</v>
      </c>
      <c r="C215" t="n">
        <v>499</v>
      </c>
      <c r="D215" t="n">
        <v>1</v>
      </c>
    </row>
    <row r="216">
      <c r="A216" t="n">
        <v>21</v>
      </c>
      <c r="B216" s="4" t="n">
        <v>46036</v>
      </c>
      <c r="C216" t="n">
        <v>49</v>
      </c>
      <c r="D216" t="n">
        <v>1</v>
      </c>
    </row>
    <row r="217">
      <c r="A217" t="n">
        <v>21</v>
      </c>
      <c r="B217" s="4" t="n">
        <v>46037</v>
      </c>
      <c r="C217" t="n">
        <v>299</v>
      </c>
      <c r="D217" t="n">
        <v>1</v>
      </c>
    </row>
    <row r="218">
      <c r="A218" t="n">
        <v>21</v>
      </c>
      <c r="B218" s="4" t="n">
        <v>46038</v>
      </c>
      <c r="C218" t="n">
        <v>799</v>
      </c>
      <c r="D218" t="n">
        <v>1</v>
      </c>
    </row>
    <row r="219">
      <c r="A219" t="n">
        <v>21</v>
      </c>
      <c r="B219" s="4" t="n">
        <v>46040</v>
      </c>
      <c r="C219" t="n">
        <v>799</v>
      </c>
      <c r="D219" t="n">
        <v>1</v>
      </c>
    </row>
    <row r="220">
      <c r="A220" t="n">
        <v>21</v>
      </c>
      <c r="B220" s="4" t="n">
        <v>46041</v>
      </c>
      <c r="C220" t="n">
        <v>99</v>
      </c>
      <c r="D220" t="n">
        <v>1</v>
      </c>
    </row>
    <row r="221">
      <c r="A221" t="n">
        <v>21</v>
      </c>
      <c r="B221" s="4" t="n">
        <v>46042</v>
      </c>
      <c r="C221" t="n">
        <v>49</v>
      </c>
      <c r="D221" t="n">
        <v>1</v>
      </c>
    </row>
    <row r="222">
      <c r="A222" t="n">
        <v>21</v>
      </c>
      <c r="B222" s="4" t="n">
        <v>46043</v>
      </c>
      <c r="C222" t="n">
        <v>49</v>
      </c>
      <c r="D222" t="n">
        <v>1</v>
      </c>
    </row>
    <row r="223">
      <c r="A223" t="n">
        <v>21</v>
      </c>
      <c r="B223" s="4" t="n">
        <v>46047</v>
      </c>
      <c r="C223" t="n">
        <v>299</v>
      </c>
      <c r="D223" t="n">
        <v>1</v>
      </c>
    </row>
    <row r="224">
      <c r="A224" t="n">
        <v>21</v>
      </c>
      <c r="B224" s="4" t="n">
        <v>46048</v>
      </c>
      <c r="C224" t="n">
        <v>99</v>
      </c>
      <c r="D224" t="n">
        <v>1</v>
      </c>
    </row>
    <row r="225">
      <c r="A225" t="n">
        <v>21</v>
      </c>
      <c r="B225" s="4" t="n">
        <v>46049</v>
      </c>
      <c r="C225" t="n">
        <v>49</v>
      </c>
      <c r="D225" t="n">
        <v>1</v>
      </c>
    </row>
    <row r="226">
      <c r="A226" t="n">
        <v>22</v>
      </c>
      <c r="B226" s="4" t="n">
        <v>46023</v>
      </c>
      <c r="C226" t="n">
        <v>799</v>
      </c>
      <c r="D226" t="n">
        <v>1</v>
      </c>
    </row>
    <row r="227">
      <c r="A227" t="n">
        <v>22</v>
      </c>
      <c r="B227" s="4" t="n">
        <v>46027</v>
      </c>
      <c r="C227" t="n">
        <v>448</v>
      </c>
      <c r="D227" t="n">
        <v>2</v>
      </c>
    </row>
    <row r="228">
      <c r="A228" t="n">
        <v>22</v>
      </c>
      <c r="B228" s="4" t="n">
        <v>46029</v>
      </c>
      <c r="C228" t="n">
        <v>499</v>
      </c>
      <c r="D228" t="n">
        <v>1</v>
      </c>
    </row>
    <row r="229">
      <c r="A229" t="n">
        <v>22</v>
      </c>
      <c r="B229" s="4" t="n">
        <v>46032</v>
      </c>
      <c r="C229" t="n">
        <v>499</v>
      </c>
      <c r="D229" t="n">
        <v>1</v>
      </c>
    </row>
    <row r="230">
      <c r="A230" t="n">
        <v>22</v>
      </c>
      <c r="B230" s="4" t="n">
        <v>46033</v>
      </c>
      <c r="C230" t="n">
        <v>299</v>
      </c>
      <c r="D230" t="n">
        <v>1</v>
      </c>
    </row>
    <row r="231">
      <c r="A231" t="n">
        <v>22</v>
      </c>
      <c r="B231" s="4" t="n">
        <v>46034</v>
      </c>
      <c r="C231" t="n">
        <v>1697</v>
      </c>
      <c r="D231" t="n">
        <v>3</v>
      </c>
    </row>
    <row r="232">
      <c r="A232" t="n">
        <v>22</v>
      </c>
      <c r="B232" s="4" t="n">
        <v>46035</v>
      </c>
      <c r="C232" t="n">
        <v>5798</v>
      </c>
      <c r="D232" t="n">
        <v>2</v>
      </c>
    </row>
    <row r="233">
      <c r="A233" t="n">
        <v>22</v>
      </c>
      <c r="B233" s="4" t="n">
        <v>46036</v>
      </c>
      <c r="C233" t="n">
        <v>799</v>
      </c>
      <c r="D233" t="n">
        <v>1</v>
      </c>
    </row>
    <row r="234">
      <c r="A234" t="n">
        <v>22</v>
      </c>
      <c r="B234" s="4" t="n">
        <v>46039</v>
      </c>
      <c r="C234" t="n">
        <v>1598</v>
      </c>
      <c r="D234" t="n">
        <v>2</v>
      </c>
    </row>
    <row r="235">
      <c r="A235" t="n">
        <v>22</v>
      </c>
      <c r="B235" s="4" t="n">
        <v>46045</v>
      </c>
      <c r="C235" t="n">
        <v>49</v>
      </c>
      <c r="D235" t="n">
        <v>1</v>
      </c>
    </row>
    <row r="236">
      <c r="A236" t="n">
        <v>22</v>
      </c>
      <c r="B236" s="4" t="n">
        <v>46051</v>
      </c>
      <c r="C236" t="n">
        <v>49</v>
      </c>
      <c r="D236" t="n">
        <v>1</v>
      </c>
    </row>
    <row r="237">
      <c r="A237" t="n">
        <v>23</v>
      </c>
      <c r="B237" s="4" t="n">
        <v>46030</v>
      </c>
      <c r="C237" t="n">
        <v>99</v>
      </c>
      <c r="D237" t="n">
        <v>1</v>
      </c>
    </row>
    <row r="238">
      <c r="A238" t="n">
        <v>23</v>
      </c>
      <c r="B238" s="4" t="n">
        <v>46031</v>
      </c>
      <c r="C238" t="n">
        <v>399</v>
      </c>
      <c r="D238" t="n">
        <v>1</v>
      </c>
    </row>
    <row r="239">
      <c r="A239" t="n">
        <v>23</v>
      </c>
      <c r="B239" s="4" t="n">
        <v>46034</v>
      </c>
      <c r="C239" t="n">
        <v>149</v>
      </c>
      <c r="D239" t="n">
        <v>1</v>
      </c>
    </row>
    <row r="240">
      <c r="A240" t="n">
        <v>23</v>
      </c>
      <c r="B240" s="4" t="n">
        <v>46039</v>
      </c>
      <c r="C240" t="n">
        <v>49</v>
      </c>
      <c r="D240" t="n">
        <v>1</v>
      </c>
    </row>
    <row r="241">
      <c r="A241" t="n">
        <v>23</v>
      </c>
      <c r="B241" s="4" t="n">
        <v>46040</v>
      </c>
      <c r="C241" t="n">
        <v>1999</v>
      </c>
      <c r="D241" t="n">
        <v>1</v>
      </c>
    </row>
    <row r="242">
      <c r="A242" t="n">
        <v>23</v>
      </c>
      <c r="B242" s="4" t="n">
        <v>46044</v>
      </c>
      <c r="C242" t="n">
        <v>49</v>
      </c>
      <c r="D242" t="n">
        <v>1</v>
      </c>
    </row>
    <row r="243">
      <c r="A243" t="n">
        <v>23</v>
      </c>
      <c r="B243" s="4" t="n">
        <v>46045</v>
      </c>
      <c r="C243" t="n">
        <v>247</v>
      </c>
      <c r="D243" t="n">
        <v>3</v>
      </c>
    </row>
    <row r="244">
      <c r="A244" t="n">
        <v>23</v>
      </c>
      <c r="B244" s="4" t="n">
        <v>46048</v>
      </c>
      <c r="C244" t="n">
        <v>49</v>
      </c>
      <c r="D244" t="n">
        <v>1</v>
      </c>
    </row>
    <row r="245">
      <c r="A245" t="n">
        <v>24</v>
      </c>
      <c r="B245" s="4" t="n">
        <v>46025</v>
      </c>
      <c r="C245" t="n">
        <v>49</v>
      </c>
      <c r="D245" t="n">
        <v>1</v>
      </c>
    </row>
    <row r="246">
      <c r="A246" t="n">
        <v>24</v>
      </c>
      <c r="B246" s="4" t="n">
        <v>46026</v>
      </c>
      <c r="C246" t="n">
        <v>149</v>
      </c>
      <c r="D246" t="n">
        <v>1</v>
      </c>
    </row>
    <row r="247">
      <c r="A247" t="n">
        <v>24</v>
      </c>
      <c r="B247" s="4" t="n">
        <v>46029</v>
      </c>
      <c r="C247" t="n">
        <v>299</v>
      </c>
      <c r="D247" t="n">
        <v>1</v>
      </c>
    </row>
    <row r="248">
      <c r="A248" t="n">
        <v>24</v>
      </c>
      <c r="B248" s="4" t="n">
        <v>46033</v>
      </c>
      <c r="C248" t="n">
        <v>799</v>
      </c>
      <c r="D248" t="n">
        <v>1</v>
      </c>
    </row>
    <row r="249">
      <c r="A249" t="n">
        <v>24</v>
      </c>
      <c r="B249" s="4" t="n">
        <v>46034</v>
      </c>
      <c r="C249" t="n">
        <v>149</v>
      </c>
      <c r="D249" t="n">
        <v>1</v>
      </c>
    </row>
    <row r="250">
      <c r="A250" t="n">
        <v>24</v>
      </c>
      <c r="B250" s="4" t="n">
        <v>46036</v>
      </c>
      <c r="C250" t="n">
        <v>499</v>
      </c>
      <c r="D250" t="n">
        <v>1</v>
      </c>
    </row>
    <row r="251">
      <c r="A251" t="n">
        <v>24</v>
      </c>
      <c r="B251" s="4" t="n">
        <v>46042</v>
      </c>
      <c r="C251" t="n">
        <v>299</v>
      </c>
      <c r="D251" t="n">
        <v>1</v>
      </c>
    </row>
    <row r="252">
      <c r="A252" t="n">
        <v>24</v>
      </c>
      <c r="B252" s="4" t="n">
        <v>46043</v>
      </c>
      <c r="C252" t="n">
        <v>799</v>
      </c>
      <c r="D252" t="n">
        <v>1</v>
      </c>
    </row>
    <row r="253">
      <c r="A253" t="n">
        <v>24</v>
      </c>
      <c r="B253" s="4" t="n">
        <v>46044</v>
      </c>
      <c r="C253" t="n">
        <v>49</v>
      </c>
      <c r="D253" t="n">
        <v>1</v>
      </c>
    </row>
    <row r="254">
      <c r="A254" t="n">
        <v>24</v>
      </c>
      <c r="B254" s="4" t="n">
        <v>46046</v>
      </c>
      <c r="C254" t="n">
        <v>148</v>
      </c>
      <c r="D254" t="n">
        <v>2</v>
      </c>
    </row>
    <row r="255">
      <c r="A255" t="n">
        <v>24</v>
      </c>
      <c r="B255" s="4" t="n">
        <v>46048</v>
      </c>
      <c r="C255" t="n">
        <v>348</v>
      </c>
      <c r="D255" t="n">
        <v>2</v>
      </c>
    </row>
    <row r="256">
      <c r="A256" t="n">
        <v>25</v>
      </c>
      <c r="B256" s="4" t="n">
        <v>46024</v>
      </c>
      <c r="C256" t="n">
        <v>99</v>
      </c>
      <c r="D256" t="n">
        <v>1</v>
      </c>
    </row>
    <row r="257">
      <c r="A257" t="n">
        <v>25</v>
      </c>
      <c r="B257" s="4" t="n">
        <v>46027</v>
      </c>
      <c r="C257" t="n">
        <v>4498</v>
      </c>
      <c r="D257" t="n">
        <v>2</v>
      </c>
    </row>
    <row r="258">
      <c r="A258" t="n">
        <v>25</v>
      </c>
      <c r="B258" s="4" t="n">
        <v>46028</v>
      </c>
      <c r="C258" t="n">
        <v>898</v>
      </c>
      <c r="D258" t="n">
        <v>2</v>
      </c>
    </row>
    <row r="259">
      <c r="A259" t="n">
        <v>25</v>
      </c>
      <c r="B259" s="4" t="n">
        <v>46033</v>
      </c>
      <c r="C259" t="n">
        <v>799</v>
      </c>
      <c r="D259" t="n">
        <v>1</v>
      </c>
    </row>
    <row r="260">
      <c r="A260" t="n">
        <v>25</v>
      </c>
      <c r="B260" s="4" t="n">
        <v>46035</v>
      </c>
      <c r="C260" t="n">
        <v>49</v>
      </c>
      <c r="D260" t="n">
        <v>1</v>
      </c>
    </row>
    <row r="261">
      <c r="A261" t="n">
        <v>25</v>
      </c>
      <c r="B261" s="4" t="n">
        <v>46037</v>
      </c>
      <c r="C261" t="n">
        <v>49</v>
      </c>
      <c r="D261" t="n">
        <v>1</v>
      </c>
    </row>
    <row r="262">
      <c r="A262" t="n">
        <v>25</v>
      </c>
      <c r="B262" s="4" t="n">
        <v>46038</v>
      </c>
      <c r="C262" t="n">
        <v>799</v>
      </c>
      <c r="D262" t="n">
        <v>1</v>
      </c>
    </row>
    <row r="263">
      <c r="A263" t="n">
        <v>25</v>
      </c>
      <c r="B263" s="4" t="n">
        <v>46041</v>
      </c>
      <c r="C263" t="n">
        <v>4498</v>
      </c>
      <c r="D263" t="n">
        <v>2</v>
      </c>
    </row>
    <row r="264">
      <c r="A264" t="n">
        <v>25</v>
      </c>
      <c r="B264" s="4" t="n">
        <v>46046</v>
      </c>
      <c r="C264" t="n">
        <v>497</v>
      </c>
      <c r="D264" t="n">
        <v>3</v>
      </c>
    </row>
    <row r="265">
      <c r="A265" t="n">
        <v>25</v>
      </c>
      <c r="B265" s="4" t="n">
        <v>46050</v>
      </c>
      <c r="C265" t="n">
        <v>299</v>
      </c>
      <c r="D265" t="n">
        <v>1</v>
      </c>
    </row>
    <row r="266">
      <c r="A266" t="n">
        <v>25</v>
      </c>
      <c r="B266" s="4" t="n">
        <v>46051</v>
      </c>
      <c r="C266" t="n">
        <v>3048</v>
      </c>
      <c r="D266" t="n">
        <v>2</v>
      </c>
    </row>
    <row r="267">
      <c r="A267" t="n">
        <v>26</v>
      </c>
      <c r="B267" s="4" t="n">
        <v>46024</v>
      </c>
      <c r="C267" t="n">
        <v>399</v>
      </c>
      <c r="D267" t="n">
        <v>1</v>
      </c>
    </row>
    <row r="268">
      <c r="A268" t="n">
        <v>26</v>
      </c>
      <c r="B268" s="4" t="n">
        <v>46025</v>
      </c>
      <c r="C268" t="n">
        <v>99</v>
      </c>
      <c r="D268" t="n">
        <v>1</v>
      </c>
    </row>
    <row r="269">
      <c r="A269" t="n">
        <v>26</v>
      </c>
      <c r="B269" s="4" t="n">
        <v>46028</v>
      </c>
      <c r="C269" t="n">
        <v>49</v>
      </c>
      <c r="D269" t="n">
        <v>1</v>
      </c>
    </row>
    <row r="270">
      <c r="A270" t="n">
        <v>26</v>
      </c>
      <c r="B270" s="4" t="n">
        <v>46032</v>
      </c>
      <c r="C270" t="n">
        <v>299</v>
      </c>
      <c r="D270" t="n">
        <v>1</v>
      </c>
    </row>
    <row r="271">
      <c r="A271" t="n">
        <v>26</v>
      </c>
      <c r="B271" s="4" t="n">
        <v>46034</v>
      </c>
      <c r="C271" t="n">
        <v>299</v>
      </c>
      <c r="D271" t="n">
        <v>1</v>
      </c>
    </row>
    <row r="272">
      <c r="A272" t="n">
        <v>26</v>
      </c>
      <c r="B272" s="4" t="n">
        <v>46036</v>
      </c>
      <c r="C272" t="n">
        <v>299</v>
      </c>
      <c r="D272" t="n">
        <v>1</v>
      </c>
    </row>
    <row r="273">
      <c r="A273" t="n">
        <v>26</v>
      </c>
      <c r="B273" s="4" t="n">
        <v>46044</v>
      </c>
      <c r="C273" t="n">
        <v>499</v>
      </c>
      <c r="D273" t="n">
        <v>1</v>
      </c>
    </row>
    <row r="274">
      <c r="A274" t="n">
        <v>26</v>
      </c>
      <c r="B274" s="4" t="n">
        <v>46045</v>
      </c>
      <c r="C274" t="n">
        <v>99</v>
      </c>
      <c r="D274" t="n">
        <v>1</v>
      </c>
    </row>
    <row r="275">
      <c r="A275" t="n">
        <v>26</v>
      </c>
      <c r="B275" s="4" t="n">
        <v>46050</v>
      </c>
      <c r="C275" t="n">
        <v>1499</v>
      </c>
      <c r="D275" t="n">
        <v>1</v>
      </c>
    </row>
    <row r="276">
      <c r="A276" t="n">
        <v>26</v>
      </c>
      <c r="B276" s="4" t="n">
        <v>46051</v>
      </c>
      <c r="C276" t="n">
        <v>148</v>
      </c>
      <c r="D276" t="n">
        <v>2</v>
      </c>
    </row>
    <row r="277">
      <c r="A277" t="n">
        <v>26</v>
      </c>
      <c r="B277" s="4" t="n">
        <v>46052</v>
      </c>
      <c r="C277" t="n">
        <v>1499</v>
      </c>
      <c r="D277" t="n">
        <v>1</v>
      </c>
    </row>
    <row r="278">
      <c r="A278" t="n">
        <v>27</v>
      </c>
      <c r="B278" s="4" t="n">
        <v>46023</v>
      </c>
      <c r="C278" t="n">
        <v>149</v>
      </c>
      <c r="D278" t="n">
        <v>1</v>
      </c>
    </row>
    <row r="279">
      <c r="A279" t="n">
        <v>27</v>
      </c>
      <c r="B279" s="4" t="n">
        <v>46026</v>
      </c>
      <c r="C279" t="n">
        <v>49</v>
      </c>
      <c r="D279" t="n">
        <v>1</v>
      </c>
    </row>
    <row r="280">
      <c r="A280" t="n">
        <v>27</v>
      </c>
      <c r="B280" s="4" t="n">
        <v>46032</v>
      </c>
      <c r="C280" t="n">
        <v>149</v>
      </c>
      <c r="D280" t="n">
        <v>1</v>
      </c>
    </row>
    <row r="281">
      <c r="A281" t="n">
        <v>27</v>
      </c>
      <c r="B281" s="4" t="n">
        <v>46034</v>
      </c>
      <c r="C281" t="n">
        <v>299</v>
      </c>
      <c r="D281" t="n">
        <v>1</v>
      </c>
    </row>
    <row r="282">
      <c r="A282" t="n">
        <v>27</v>
      </c>
      <c r="B282" s="4" t="n">
        <v>46036</v>
      </c>
      <c r="C282" t="n">
        <v>149</v>
      </c>
      <c r="D282" t="n">
        <v>1</v>
      </c>
    </row>
    <row r="283">
      <c r="A283" t="n">
        <v>27</v>
      </c>
      <c r="B283" s="4" t="n">
        <v>46037</v>
      </c>
      <c r="C283" t="n">
        <v>1499</v>
      </c>
      <c r="D283" t="n">
        <v>1</v>
      </c>
    </row>
    <row r="284">
      <c r="A284" t="n">
        <v>27</v>
      </c>
      <c r="B284" s="4" t="n">
        <v>46039</v>
      </c>
      <c r="C284" t="n">
        <v>1597</v>
      </c>
      <c r="D284" t="n">
        <v>3</v>
      </c>
    </row>
    <row r="285">
      <c r="A285" t="n">
        <v>27</v>
      </c>
      <c r="B285" s="4" t="n">
        <v>46041</v>
      </c>
      <c r="C285" t="n">
        <v>49</v>
      </c>
      <c r="D285" t="n">
        <v>1</v>
      </c>
    </row>
    <row r="286">
      <c r="A286" t="n">
        <v>27</v>
      </c>
      <c r="B286" s="4" t="n">
        <v>46042</v>
      </c>
      <c r="C286" t="n">
        <v>4999</v>
      </c>
      <c r="D286" t="n">
        <v>1</v>
      </c>
    </row>
    <row r="287">
      <c r="A287" t="n">
        <v>27</v>
      </c>
      <c r="B287" s="4" t="n">
        <v>46043</v>
      </c>
      <c r="C287" t="n">
        <v>499</v>
      </c>
      <c r="D287" t="n">
        <v>1</v>
      </c>
    </row>
    <row r="288">
      <c r="A288" t="n">
        <v>27</v>
      </c>
      <c r="B288" s="4" t="n">
        <v>46044</v>
      </c>
      <c r="C288" t="n">
        <v>49</v>
      </c>
      <c r="D288" t="n">
        <v>1</v>
      </c>
    </row>
    <row r="289">
      <c r="A289" t="n">
        <v>27</v>
      </c>
      <c r="B289" s="4" t="n">
        <v>46045</v>
      </c>
      <c r="C289" t="n">
        <v>3998</v>
      </c>
      <c r="D289" t="n">
        <v>2</v>
      </c>
    </row>
    <row r="290">
      <c r="A290" t="n">
        <v>27</v>
      </c>
      <c r="B290" s="4" t="n">
        <v>46046</v>
      </c>
      <c r="C290" t="n">
        <v>99</v>
      </c>
      <c r="D290" t="n">
        <v>1</v>
      </c>
    </row>
    <row r="291">
      <c r="A291" t="n">
        <v>28</v>
      </c>
      <c r="B291" s="4" t="n">
        <v>46030</v>
      </c>
      <c r="C291" t="n">
        <v>49</v>
      </c>
      <c r="D291" t="n">
        <v>1</v>
      </c>
    </row>
    <row r="292">
      <c r="A292" t="n">
        <v>28</v>
      </c>
      <c r="B292" s="4" t="n">
        <v>46031</v>
      </c>
      <c r="C292" t="n">
        <v>2999</v>
      </c>
      <c r="D292" t="n">
        <v>1</v>
      </c>
    </row>
    <row r="293">
      <c r="A293" t="n">
        <v>28</v>
      </c>
      <c r="B293" s="4" t="n">
        <v>46032</v>
      </c>
      <c r="C293" t="n">
        <v>499</v>
      </c>
      <c r="D293" t="n">
        <v>1</v>
      </c>
    </row>
    <row r="294">
      <c r="A294" t="n">
        <v>28</v>
      </c>
      <c r="B294" s="4" t="n">
        <v>46033</v>
      </c>
      <c r="C294" t="n">
        <v>49</v>
      </c>
      <c r="D294" t="n">
        <v>1</v>
      </c>
    </row>
    <row r="295">
      <c r="A295" t="n">
        <v>28</v>
      </c>
      <c r="B295" s="4" t="n">
        <v>46036</v>
      </c>
      <c r="C295" t="n">
        <v>49</v>
      </c>
      <c r="D295" t="n">
        <v>1</v>
      </c>
    </row>
    <row r="296">
      <c r="A296" t="n">
        <v>28</v>
      </c>
      <c r="B296" s="4" t="n">
        <v>46037</v>
      </c>
      <c r="C296" t="n">
        <v>2999</v>
      </c>
      <c r="D296" t="n">
        <v>1</v>
      </c>
    </row>
    <row r="297">
      <c r="A297" t="n">
        <v>28</v>
      </c>
      <c r="B297" s="4" t="n">
        <v>46038</v>
      </c>
      <c r="C297" t="n">
        <v>299</v>
      </c>
      <c r="D297" t="n">
        <v>1</v>
      </c>
    </row>
    <row r="298">
      <c r="A298" t="n">
        <v>28</v>
      </c>
      <c r="B298" s="4" t="n">
        <v>46043</v>
      </c>
      <c r="C298" t="n">
        <v>1999</v>
      </c>
      <c r="D298" t="n">
        <v>1</v>
      </c>
    </row>
    <row r="299">
      <c r="A299" t="n">
        <v>28</v>
      </c>
      <c r="B299" s="4" t="n">
        <v>46044</v>
      </c>
      <c r="C299" t="n">
        <v>99</v>
      </c>
      <c r="D299" t="n">
        <v>1</v>
      </c>
    </row>
    <row r="300">
      <c r="A300" t="n">
        <v>28</v>
      </c>
      <c r="B300" s="4" t="n">
        <v>46052</v>
      </c>
      <c r="C300" t="n">
        <v>499</v>
      </c>
      <c r="D300" t="n">
        <v>1</v>
      </c>
    </row>
    <row r="301">
      <c r="A301" t="n">
        <v>29</v>
      </c>
      <c r="B301" s="4" t="n">
        <v>46026</v>
      </c>
      <c r="C301" t="n">
        <v>99</v>
      </c>
      <c r="D301" t="n">
        <v>1</v>
      </c>
    </row>
    <row r="302">
      <c r="A302" t="n">
        <v>29</v>
      </c>
      <c r="B302" s="4" t="n">
        <v>46027</v>
      </c>
      <c r="C302" t="n">
        <v>799</v>
      </c>
      <c r="D302" t="n">
        <v>1</v>
      </c>
    </row>
    <row r="303">
      <c r="A303" t="n">
        <v>29</v>
      </c>
      <c r="B303" s="4" t="n">
        <v>46030</v>
      </c>
      <c r="C303" t="n">
        <v>2999</v>
      </c>
      <c r="D303" t="n">
        <v>1</v>
      </c>
    </row>
    <row r="304">
      <c r="A304" t="n">
        <v>29</v>
      </c>
      <c r="B304" s="4" t="n">
        <v>46031</v>
      </c>
      <c r="C304" t="n">
        <v>499</v>
      </c>
      <c r="D304" t="n">
        <v>1</v>
      </c>
    </row>
    <row r="305">
      <c r="A305" t="n">
        <v>29</v>
      </c>
      <c r="B305" s="4" t="n">
        <v>46034</v>
      </c>
      <c r="C305" t="n">
        <v>399</v>
      </c>
      <c r="D305" t="n">
        <v>1</v>
      </c>
    </row>
    <row r="306">
      <c r="A306" t="n">
        <v>29</v>
      </c>
      <c r="B306" s="4" t="n">
        <v>46036</v>
      </c>
      <c r="C306" t="n">
        <v>1998</v>
      </c>
      <c r="D306" t="n">
        <v>2</v>
      </c>
    </row>
    <row r="307">
      <c r="A307" t="n">
        <v>29</v>
      </c>
      <c r="B307" s="4" t="n">
        <v>46037</v>
      </c>
      <c r="C307" t="n">
        <v>1098</v>
      </c>
      <c r="D307" t="n">
        <v>2</v>
      </c>
    </row>
    <row r="308">
      <c r="A308" t="n">
        <v>29</v>
      </c>
      <c r="B308" s="4" t="n">
        <v>46039</v>
      </c>
      <c r="C308" t="n">
        <v>49</v>
      </c>
      <c r="D308" t="n">
        <v>1</v>
      </c>
    </row>
    <row r="309">
      <c r="A309" t="n">
        <v>29</v>
      </c>
      <c r="B309" s="4" t="n">
        <v>46041</v>
      </c>
      <c r="C309" t="n">
        <v>49</v>
      </c>
      <c r="D309" t="n">
        <v>1</v>
      </c>
    </row>
    <row r="310">
      <c r="A310" t="n">
        <v>29</v>
      </c>
      <c r="B310" s="4" t="n">
        <v>46042</v>
      </c>
      <c r="C310" t="n">
        <v>149</v>
      </c>
      <c r="D310" t="n">
        <v>1</v>
      </c>
    </row>
    <row r="311">
      <c r="A311" t="n">
        <v>29</v>
      </c>
      <c r="B311" s="4" t="n">
        <v>46047</v>
      </c>
      <c r="C311" t="n">
        <v>3896</v>
      </c>
      <c r="D311" t="n">
        <v>4</v>
      </c>
    </row>
    <row r="312">
      <c r="A312" t="n">
        <v>29</v>
      </c>
      <c r="B312" s="4" t="n">
        <v>46049</v>
      </c>
      <c r="C312" t="n">
        <v>898</v>
      </c>
      <c r="D312" t="n">
        <v>2</v>
      </c>
    </row>
    <row r="313">
      <c r="A313" t="n">
        <v>29</v>
      </c>
      <c r="B313" s="4" t="n">
        <v>46050</v>
      </c>
      <c r="C313" t="n">
        <v>149</v>
      </c>
      <c r="D313" t="n">
        <v>1</v>
      </c>
    </row>
    <row r="314">
      <c r="A314" t="n">
        <v>30</v>
      </c>
      <c r="B314" s="4" t="n">
        <v>46025</v>
      </c>
      <c r="C314" t="n">
        <v>149</v>
      </c>
      <c r="D314" t="n">
        <v>1</v>
      </c>
    </row>
    <row r="315">
      <c r="A315" t="n">
        <v>30</v>
      </c>
      <c r="B315" s="4" t="n">
        <v>46030</v>
      </c>
      <c r="C315" t="n">
        <v>1197</v>
      </c>
      <c r="D315" t="n">
        <v>3</v>
      </c>
    </row>
    <row r="316">
      <c r="A316" t="n">
        <v>30</v>
      </c>
      <c r="B316" s="4" t="n">
        <v>46031</v>
      </c>
      <c r="C316" t="n">
        <v>99</v>
      </c>
      <c r="D316" t="n">
        <v>1</v>
      </c>
    </row>
    <row r="317">
      <c r="A317" t="n">
        <v>30</v>
      </c>
      <c r="B317" s="4" t="n">
        <v>46034</v>
      </c>
      <c r="C317" t="n">
        <v>499</v>
      </c>
      <c r="D317" t="n">
        <v>1</v>
      </c>
    </row>
    <row r="318">
      <c r="A318" t="n">
        <v>30</v>
      </c>
      <c r="B318" s="4" t="n">
        <v>46035</v>
      </c>
      <c r="C318" t="n">
        <v>1499</v>
      </c>
      <c r="D318" t="n">
        <v>1</v>
      </c>
    </row>
    <row r="319">
      <c r="A319" t="n">
        <v>30</v>
      </c>
      <c r="B319" s="4" t="n">
        <v>46036</v>
      </c>
      <c r="C319" t="n">
        <v>2497</v>
      </c>
      <c r="D319" t="n">
        <v>3</v>
      </c>
    </row>
    <row r="320">
      <c r="A320" t="n">
        <v>30</v>
      </c>
      <c r="B320" s="4" t="n">
        <v>46037</v>
      </c>
      <c r="C320" t="n">
        <v>49</v>
      </c>
      <c r="D320" t="n">
        <v>1</v>
      </c>
    </row>
    <row r="321">
      <c r="A321" t="n">
        <v>30</v>
      </c>
      <c r="B321" s="4" t="n">
        <v>46039</v>
      </c>
      <c r="C321" t="n">
        <v>49</v>
      </c>
      <c r="D321" t="n">
        <v>1</v>
      </c>
    </row>
    <row r="322">
      <c r="A322" t="n">
        <v>30</v>
      </c>
      <c r="B322" s="4" t="n">
        <v>46040</v>
      </c>
      <c r="C322" t="n">
        <v>799</v>
      </c>
      <c r="D322" t="n">
        <v>1</v>
      </c>
    </row>
    <row r="323">
      <c r="A323" t="n">
        <v>30</v>
      </c>
      <c r="B323" s="4" t="n">
        <v>46048</v>
      </c>
      <c r="C323" t="n">
        <v>799</v>
      </c>
      <c r="D323" t="n">
        <v>1</v>
      </c>
    </row>
    <row r="324">
      <c r="A324" t="n">
        <v>30</v>
      </c>
      <c r="B324" s="4" t="n">
        <v>46050</v>
      </c>
      <c r="C324" t="n">
        <v>49</v>
      </c>
      <c r="D324" t="n">
        <v>1</v>
      </c>
    </row>
    <row r="325">
      <c r="A325" t="n">
        <v>30</v>
      </c>
      <c r="B325" s="4" t="n">
        <v>46051</v>
      </c>
      <c r="C325" t="n">
        <v>149</v>
      </c>
      <c r="D325" t="n">
        <v>1</v>
      </c>
    </row>
    <row r="326">
      <c r="A326" t="n">
        <v>30</v>
      </c>
      <c r="B326" s="4" t="n">
        <v>46052</v>
      </c>
      <c r="C326" t="n">
        <v>49</v>
      </c>
      <c r="D326" t="n">
        <v>1</v>
      </c>
    </row>
    <row r="327">
      <c r="A327" t="n">
        <v>31</v>
      </c>
      <c r="B327" s="4" t="n">
        <v>46027</v>
      </c>
      <c r="C327" t="n">
        <v>49</v>
      </c>
      <c r="D327" t="n">
        <v>1</v>
      </c>
    </row>
    <row r="328">
      <c r="A328" t="n">
        <v>31</v>
      </c>
      <c r="B328" s="4" t="n">
        <v>46029</v>
      </c>
      <c r="C328" t="n">
        <v>49</v>
      </c>
      <c r="D328" t="n">
        <v>1</v>
      </c>
    </row>
    <row r="329">
      <c r="A329" t="n">
        <v>31</v>
      </c>
      <c r="B329" s="4" t="n">
        <v>46031</v>
      </c>
      <c r="C329" t="n">
        <v>1499</v>
      </c>
      <c r="D329" t="n">
        <v>1</v>
      </c>
    </row>
    <row r="330">
      <c r="A330" t="n">
        <v>31</v>
      </c>
      <c r="B330" s="4" t="n">
        <v>46032</v>
      </c>
      <c r="C330" t="n">
        <v>499</v>
      </c>
      <c r="D330" t="n">
        <v>1</v>
      </c>
    </row>
    <row r="331">
      <c r="A331" t="n">
        <v>31</v>
      </c>
      <c r="B331" s="4" t="n">
        <v>46034</v>
      </c>
      <c r="C331" t="n">
        <v>598</v>
      </c>
      <c r="D331" t="n">
        <v>2</v>
      </c>
    </row>
    <row r="332">
      <c r="A332" t="n">
        <v>31</v>
      </c>
      <c r="B332" s="4" t="n">
        <v>46035</v>
      </c>
      <c r="C332" t="n">
        <v>299</v>
      </c>
      <c r="D332" t="n">
        <v>1</v>
      </c>
    </row>
    <row r="333">
      <c r="A333" t="n">
        <v>31</v>
      </c>
      <c r="B333" s="4" t="n">
        <v>46036</v>
      </c>
      <c r="C333" t="n">
        <v>499</v>
      </c>
      <c r="D333" t="n">
        <v>1</v>
      </c>
    </row>
    <row r="334">
      <c r="A334" t="n">
        <v>31</v>
      </c>
      <c r="B334" s="4" t="n">
        <v>46037</v>
      </c>
      <c r="C334" t="n">
        <v>299</v>
      </c>
      <c r="D334" t="n">
        <v>1</v>
      </c>
    </row>
    <row r="335">
      <c r="A335" t="n">
        <v>31</v>
      </c>
      <c r="B335" s="4" t="n">
        <v>46038</v>
      </c>
      <c r="C335" t="n">
        <v>499</v>
      </c>
      <c r="D335" t="n">
        <v>1</v>
      </c>
    </row>
    <row r="336">
      <c r="A336" t="n">
        <v>31</v>
      </c>
      <c r="B336" s="4" t="n">
        <v>46040</v>
      </c>
      <c r="C336" t="n">
        <v>49</v>
      </c>
      <c r="D336" t="n">
        <v>1</v>
      </c>
    </row>
    <row r="337">
      <c r="A337" t="n">
        <v>31</v>
      </c>
      <c r="B337" s="4" t="n">
        <v>46043</v>
      </c>
      <c r="C337" t="n">
        <v>49</v>
      </c>
      <c r="D337" t="n">
        <v>1</v>
      </c>
    </row>
    <row r="338">
      <c r="A338" t="n">
        <v>31</v>
      </c>
      <c r="B338" s="4" t="n">
        <v>46044</v>
      </c>
      <c r="C338" t="n">
        <v>99</v>
      </c>
      <c r="D338" t="n">
        <v>1</v>
      </c>
    </row>
    <row r="339">
      <c r="A339" t="n">
        <v>31</v>
      </c>
      <c r="B339" s="4" t="n">
        <v>46050</v>
      </c>
      <c r="C339" t="n">
        <v>299</v>
      </c>
      <c r="D339" t="n">
        <v>1</v>
      </c>
    </row>
    <row r="340">
      <c r="A340" t="n">
        <v>31</v>
      </c>
      <c r="B340" s="4" t="n">
        <v>46051</v>
      </c>
      <c r="C340" t="n">
        <v>49</v>
      </c>
      <c r="D340" t="n">
        <v>1</v>
      </c>
    </row>
    <row r="341">
      <c r="A341" t="n">
        <v>32</v>
      </c>
      <c r="B341" s="4" t="n">
        <v>46025</v>
      </c>
      <c r="C341" t="n">
        <v>149</v>
      </c>
      <c r="D341" t="n">
        <v>1</v>
      </c>
    </row>
    <row r="342">
      <c r="A342" t="n">
        <v>32</v>
      </c>
      <c r="B342" s="4" t="n">
        <v>46026</v>
      </c>
      <c r="C342" t="n">
        <v>49</v>
      </c>
      <c r="D342" t="n">
        <v>1</v>
      </c>
    </row>
    <row r="343">
      <c r="A343" t="n">
        <v>32</v>
      </c>
      <c r="B343" s="4" t="n">
        <v>46028</v>
      </c>
      <c r="C343" t="n">
        <v>149</v>
      </c>
      <c r="D343" t="n">
        <v>1</v>
      </c>
    </row>
    <row r="344">
      <c r="A344" t="n">
        <v>32</v>
      </c>
      <c r="B344" s="4" t="n">
        <v>46031</v>
      </c>
      <c r="C344" t="n">
        <v>499</v>
      </c>
      <c r="D344" t="n">
        <v>1</v>
      </c>
    </row>
    <row r="345">
      <c r="A345" t="n">
        <v>32</v>
      </c>
      <c r="B345" s="4" t="n">
        <v>46035</v>
      </c>
      <c r="C345" t="n">
        <v>1999</v>
      </c>
      <c r="D345" t="n">
        <v>1</v>
      </c>
    </row>
    <row r="346">
      <c r="A346" t="n">
        <v>32</v>
      </c>
      <c r="B346" s="4" t="n">
        <v>46037</v>
      </c>
      <c r="C346" t="n">
        <v>148</v>
      </c>
      <c r="D346" t="n">
        <v>2</v>
      </c>
    </row>
    <row r="347">
      <c r="A347" t="n">
        <v>32</v>
      </c>
      <c r="B347" s="4" t="n">
        <v>46040</v>
      </c>
      <c r="C347" t="n">
        <v>149</v>
      </c>
      <c r="D347" t="n">
        <v>1</v>
      </c>
    </row>
    <row r="348">
      <c r="A348" t="n">
        <v>32</v>
      </c>
      <c r="B348" s="4" t="n">
        <v>46043</v>
      </c>
      <c r="C348" t="n">
        <v>348</v>
      </c>
      <c r="D348" t="n">
        <v>2</v>
      </c>
    </row>
    <row r="349">
      <c r="A349" t="n">
        <v>32</v>
      </c>
      <c r="B349" s="4" t="n">
        <v>46046</v>
      </c>
      <c r="C349" t="n">
        <v>49</v>
      </c>
      <c r="D349" t="n">
        <v>1</v>
      </c>
    </row>
    <row r="350">
      <c r="A350" t="n">
        <v>32</v>
      </c>
      <c r="B350" s="4" t="n">
        <v>46047</v>
      </c>
      <c r="C350" t="n">
        <v>49</v>
      </c>
      <c r="D350" t="n">
        <v>1</v>
      </c>
    </row>
    <row r="351">
      <c r="A351" t="n">
        <v>32</v>
      </c>
      <c r="B351" s="4" t="n">
        <v>46049</v>
      </c>
      <c r="C351" t="n">
        <v>1499</v>
      </c>
      <c r="D351" t="n">
        <v>1</v>
      </c>
    </row>
    <row r="352">
      <c r="A352" t="n">
        <v>32</v>
      </c>
      <c r="B352" s="4" t="n">
        <v>46050</v>
      </c>
      <c r="C352" t="n">
        <v>2999</v>
      </c>
      <c r="D352" t="n">
        <v>1</v>
      </c>
    </row>
    <row r="353">
      <c r="A353" t="n">
        <v>33</v>
      </c>
      <c r="B353" s="4" t="n">
        <v>46025</v>
      </c>
      <c r="C353" t="n">
        <v>149</v>
      </c>
      <c r="D353" t="n">
        <v>1</v>
      </c>
    </row>
    <row r="354">
      <c r="A354" t="n">
        <v>33</v>
      </c>
      <c r="B354" s="4" t="n">
        <v>46026</v>
      </c>
      <c r="C354" t="n">
        <v>4999</v>
      </c>
      <c r="D354" t="n">
        <v>1</v>
      </c>
    </row>
    <row r="355">
      <c r="A355" t="n">
        <v>33</v>
      </c>
      <c r="B355" s="4" t="n">
        <v>46034</v>
      </c>
      <c r="C355" t="n">
        <v>299</v>
      </c>
      <c r="D355" t="n">
        <v>1</v>
      </c>
    </row>
    <row r="356">
      <c r="A356" t="n">
        <v>33</v>
      </c>
      <c r="B356" s="4" t="n">
        <v>46037</v>
      </c>
      <c r="C356" t="n">
        <v>799</v>
      </c>
      <c r="D356" t="n">
        <v>1</v>
      </c>
    </row>
    <row r="357">
      <c r="A357" t="n">
        <v>33</v>
      </c>
      <c r="B357" s="4" t="n">
        <v>46042</v>
      </c>
      <c r="C357" t="n">
        <v>499</v>
      </c>
      <c r="D357" t="n">
        <v>1</v>
      </c>
    </row>
    <row r="358">
      <c r="A358" t="n">
        <v>33</v>
      </c>
      <c r="B358" s="4" t="n">
        <v>46043</v>
      </c>
      <c r="C358" t="n">
        <v>3298</v>
      </c>
      <c r="D358" t="n">
        <v>2</v>
      </c>
    </row>
    <row r="359">
      <c r="A359" t="n">
        <v>33</v>
      </c>
      <c r="B359" s="4" t="n">
        <v>46044</v>
      </c>
      <c r="C359" t="n">
        <v>99</v>
      </c>
      <c r="D359" t="n">
        <v>1</v>
      </c>
    </row>
    <row r="360">
      <c r="A360" t="n">
        <v>33</v>
      </c>
      <c r="B360" s="4" t="n">
        <v>46045</v>
      </c>
      <c r="C360" t="n">
        <v>49</v>
      </c>
      <c r="D360" t="n">
        <v>1</v>
      </c>
    </row>
    <row r="361">
      <c r="A361" t="n">
        <v>33</v>
      </c>
      <c r="B361" s="4" t="n">
        <v>46046</v>
      </c>
      <c r="C361" t="n">
        <v>49</v>
      </c>
      <c r="D361" t="n">
        <v>1</v>
      </c>
    </row>
    <row r="362">
      <c r="A362" t="n">
        <v>33</v>
      </c>
      <c r="B362" s="4" t="n">
        <v>46047</v>
      </c>
      <c r="C362" t="n">
        <v>99</v>
      </c>
      <c r="D362" t="n">
        <v>1</v>
      </c>
    </row>
    <row r="363">
      <c r="A363" t="n">
        <v>34</v>
      </c>
      <c r="B363" s="4" t="n">
        <v>46024</v>
      </c>
      <c r="C363" t="n">
        <v>548</v>
      </c>
      <c r="D363" t="n">
        <v>2</v>
      </c>
    </row>
    <row r="364">
      <c r="A364" t="n">
        <v>34</v>
      </c>
      <c r="B364" s="4" t="n">
        <v>46027</v>
      </c>
      <c r="C364" t="n">
        <v>2999</v>
      </c>
      <c r="D364" t="n">
        <v>1</v>
      </c>
    </row>
    <row r="365">
      <c r="A365" t="n">
        <v>34</v>
      </c>
      <c r="B365" s="4" t="n">
        <v>46031</v>
      </c>
      <c r="C365" t="n">
        <v>299</v>
      </c>
      <c r="D365" t="n">
        <v>1</v>
      </c>
    </row>
    <row r="366">
      <c r="A366" t="n">
        <v>34</v>
      </c>
      <c r="B366" s="4" t="n">
        <v>46032</v>
      </c>
      <c r="C366" t="n">
        <v>49</v>
      </c>
      <c r="D366" t="n">
        <v>1</v>
      </c>
    </row>
    <row r="367">
      <c r="A367" t="n">
        <v>34</v>
      </c>
      <c r="B367" s="4" t="n">
        <v>46034</v>
      </c>
      <c r="C367" t="n">
        <v>399</v>
      </c>
      <c r="D367" t="n">
        <v>1</v>
      </c>
    </row>
    <row r="368">
      <c r="A368" t="n">
        <v>34</v>
      </c>
      <c r="B368" s="4" t="n">
        <v>46039</v>
      </c>
      <c r="C368" t="n">
        <v>299</v>
      </c>
      <c r="D368" t="n">
        <v>1</v>
      </c>
    </row>
    <row r="369">
      <c r="A369" t="n">
        <v>34</v>
      </c>
      <c r="B369" s="4" t="n">
        <v>46040</v>
      </c>
      <c r="C369" t="n">
        <v>148</v>
      </c>
      <c r="D369" t="n">
        <v>2</v>
      </c>
    </row>
    <row r="370">
      <c r="A370" t="n">
        <v>34</v>
      </c>
      <c r="B370" s="4" t="n">
        <v>46041</v>
      </c>
      <c r="C370" t="n">
        <v>499</v>
      </c>
      <c r="D370" t="n">
        <v>1</v>
      </c>
    </row>
    <row r="371">
      <c r="A371" t="n">
        <v>34</v>
      </c>
      <c r="B371" s="4" t="n">
        <v>46043</v>
      </c>
      <c r="C371" t="n">
        <v>799</v>
      </c>
      <c r="D371" t="n">
        <v>1</v>
      </c>
    </row>
    <row r="372">
      <c r="A372" t="n">
        <v>34</v>
      </c>
      <c r="B372" s="4" t="n">
        <v>46044</v>
      </c>
      <c r="C372" t="n">
        <v>299</v>
      </c>
      <c r="D372" t="n">
        <v>1</v>
      </c>
    </row>
    <row r="373">
      <c r="A373" t="n">
        <v>34</v>
      </c>
      <c r="B373" s="4" t="n">
        <v>46045</v>
      </c>
      <c r="C373" t="n">
        <v>3148</v>
      </c>
      <c r="D373" t="n">
        <v>2</v>
      </c>
    </row>
    <row r="374">
      <c r="A374" t="n">
        <v>34</v>
      </c>
      <c r="B374" s="4" t="n">
        <v>46046</v>
      </c>
      <c r="C374" t="n">
        <v>548</v>
      </c>
      <c r="D374" t="n">
        <v>2</v>
      </c>
    </row>
    <row r="375">
      <c r="A375" t="n">
        <v>35</v>
      </c>
      <c r="B375" s="4" t="n">
        <v>46023</v>
      </c>
      <c r="C375" t="n">
        <v>798</v>
      </c>
      <c r="D375" t="n">
        <v>2</v>
      </c>
    </row>
    <row r="376">
      <c r="A376" t="n">
        <v>35</v>
      </c>
      <c r="B376" s="4" t="n">
        <v>46024</v>
      </c>
      <c r="C376" t="n">
        <v>1847</v>
      </c>
      <c r="D376" t="n">
        <v>3</v>
      </c>
    </row>
    <row r="377">
      <c r="A377" t="n">
        <v>35</v>
      </c>
      <c r="B377" s="4" t="n">
        <v>46033</v>
      </c>
      <c r="C377" t="n">
        <v>4999</v>
      </c>
      <c r="D377" t="n">
        <v>1</v>
      </c>
    </row>
    <row r="378">
      <c r="A378" t="n">
        <v>35</v>
      </c>
      <c r="B378" s="4" t="n">
        <v>46034</v>
      </c>
      <c r="C378" t="n">
        <v>99</v>
      </c>
      <c r="D378" t="n">
        <v>1</v>
      </c>
    </row>
    <row r="379">
      <c r="A379" t="n">
        <v>35</v>
      </c>
      <c r="B379" s="4" t="n">
        <v>46035</v>
      </c>
      <c r="C379" t="n">
        <v>149</v>
      </c>
      <c r="D379" t="n">
        <v>1</v>
      </c>
    </row>
    <row r="380">
      <c r="A380" t="n">
        <v>35</v>
      </c>
      <c r="B380" s="4" t="n">
        <v>46043</v>
      </c>
      <c r="C380" t="n">
        <v>299</v>
      </c>
      <c r="D380" t="n">
        <v>1</v>
      </c>
    </row>
    <row r="381">
      <c r="A381" t="n">
        <v>35</v>
      </c>
      <c r="B381" s="4" t="n">
        <v>46044</v>
      </c>
      <c r="C381" t="n">
        <v>299</v>
      </c>
      <c r="D381" t="n">
        <v>1</v>
      </c>
    </row>
    <row r="382">
      <c r="A382" t="n">
        <v>35</v>
      </c>
      <c r="B382" s="4" t="n">
        <v>46046</v>
      </c>
      <c r="C382" t="n">
        <v>149</v>
      </c>
      <c r="D382" t="n">
        <v>1</v>
      </c>
    </row>
    <row r="383">
      <c r="A383" t="n">
        <v>35</v>
      </c>
      <c r="B383" s="4" t="n">
        <v>46048</v>
      </c>
      <c r="C383" t="n">
        <v>499</v>
      </c>
      <c r="D383" t="n">
        <v>1</v>
      </c>
    </row>
    <row r="384">
      <c r="A384" t="n">
        <v>35</v>
      </c>
      <c r="B384" s="4" t="n">
        <v>46050</v>
      </c>
      <c r="C384" t="n">
        <v>49</v>
      </c>
      <c r="D384" t="n">
        <v>1</v>
      </c>
    </row>
    <row r="385">
      <c r="A385" t="n">
        <v>35</v>
      </c>
      <c r="B385" s="4" t="n">
        <v>46052</v>
      </c>
      <c r="C385" t="n">
        <v>99</v>
      </c>
      <c r="D385" t="n">
        <v>1</v>
      </c>
    </row>
    <row r="386">
      <c r="A386" t="n">
        <v>36</v>
      </c>
      <c r="B386" s="4" t="n">
        <v>46023</v>
      </c>
      <c r="C386" t="n">
        <v>149</v>
      </c>
      <c r="D386" t="n">
        <v>1</v>
      </c>
    </row>
    <row r="387">
      <c r="A387" t="n">
        <v>36</v>
      </c>
      <c r="B387" s="4" t="n">
        <v>46024</v>
      </c>
      <c r="C387" t="n">
        <v>299</v>
      </c>
      <c r="D387" t="n">
        <v>1</v>
      </c>
    </row>
    <row r="388">
      <c r="A388" t="n">
        <v>36</v>
      </c>
      <c r="B388" s="4" t="n">
        <v>46025</v>
      </c>
      <c r="C388" t="n">
        <v>248</v>
      </c>
      <c r="D388" t="n">
        <v>2</v>
      </c>
    </row>
    <row r="389">
      <c r="A389" t="n">
        <v>36</v>
      </c>
      <c r="B389" s="4" t="n">
        <v>46026</v>
      </c>
      <c r="C389" t="n">
        <v>149</v>
      </c>
      <c r="D389" t="n">
        <v>1</v>
      </c>
    </row>
    <row r="390">
      <c r="A390" t="n">
        <v>36</v>
      </c>
      <c r="B390" s="4" t="n">
        <v>46038</v>
      </c>
      <c r="C390" t="n">
        <v>1499</v>
      </c>
      <c r="D390" t="n">
        <v>1</v>
      </c>
    </row>
    <row r="391">
      <c r="A391" t="n">
        <v>36</v>
      </c>
      <c r="B391" s="4" t="n">
        <v>46039</v>
      </c>
      <c r="C391" t="n">
        <v>1499</v>
      </c>
      <c r="D391" t="n">
        <v>1</v>
      </c>
    </row>
    <row r="392">
      <c r="A392" t="n">
        <v>36</v>
      </c>
      <c r="B392" s="4" t="n">
        <v>46041</v>
      </c>
      <c r="C392" t="n">
        <v>4999</v>
      </c>
      <c r="D392" t="n">
        <v>1</v>
      </c>
    </row>
    <row r="393">
      <c r="A393" t="n">
        <v>36</v>
      </c>
      <c r="B393" s="4" t="n">
        <v>46042</v>
      </c>
      <c r="C393" t="n">
        <v>49</v>
      </c>
      <c r="D393" t="n">
        <v>1</v>
      </c>
    </row>
    <row r="394">
      <c r="A394" t="n">
        <v>36</v>
      </c>
      <c r="B394" s="4" t="n">
        <v>46046</v>
      </c>
      <c r="C394" t="n">
        <v>1647</v>
      </c>
      <c r="D394" t="n">
        <v>3</v>
      </c>
    </row>
    <row r="395">
      <c r="A395" t="n">
        <v>36</v>
      </c>
      <c r="B395" s="4" t="n">
        <v>46048</v>
      </c>
      <c r="C395" t="n">
        <v>198</v>
      </c>
      <c r="D395" t="n">
        <v>2</v>
      </c>
    </row>
    <row r="396">
      <c r="A396" t="n">
        <v>36</v>
      </c>
      <c r="B396" s="4" t="n">
        <v>46050</v>
      </c>
      <c r="C396" t="n">
        <v>999</v>
      </c>
      <c r="D396" t="n">
        <v>1</v>
      </c>
    </row>
    <row r="397">
      <c r="A397" t="n">
        <v>36</v>
      </c>
      <c r="B397" s="4" t="n">
        <v>46051</v>
      </c>
      <c r="C397" t="n">
        <v>799</v>
      </c>
      <c r="D397" t="n">
        <v>1</v>
      </c>
    </row>
    <row r="398">
      <c r="A398" t="n">
        <v>37</v>
      </c>
      <c r="B398" s="4" t="n">
        <v>46023</v>
      </c>
      <c r="C398" t="n">
        <v>598</v>
      </c>
      <c r="D398" t="n">
        <v>2</v>
      </c>
    </row>
    <row r="399">
      <c r="A399" t="n">
        <v>37</v>
      </c>
      <c r="B399" s="4" t="n">
        <v>46024</v>
      </c>
      <c r="C399" t="n">
        <v>2999</v>
      </c>
      <c r="D399" t="n">
        <v>1</v>
      </c>
    </row>
    <row r="400">
      <c r="A400" t="n">
        <v>37</v>
      </c>
      <c r="B400" s="4" t="n">
        <v>46025</v>
      </c>
      <c r="C400" t="n">
        <v>299</v>
      </c>
      <c r="D400" t="n">
        <v>1</v>
      </c>
    </row>
    <row r="401">
      <c r="A401" t="n">
        <v>37</v>
      </c>
      <c r="B401" s="4" t="n">
        <v>46026</v>
      </c>
      <c r="C401" t="n">
        <v>49</v>
      </c>
      <c r="D401" t="n">
        <v>1</v>
      </c>
    </row>
    <row r="402">
      <c r="A402" t="n">
        <v>37</v>
      </c>
      <c r="B402" s="4" t="n">
        <v>46027</v>
      </c>
      <c r="C402" t="n">
        <v>1499</v>
      </c>
      <c r="D402" t="n">
        <v>1</v>
      </c>
    </row>
    <row r="403">
      <c r="A403" t="n">
        <v>37</v>
      </c>
      <c r="B403" s="4" t="n">
        <v>46028</v>
      </c>
      <c r="C403" t="n">
        <v>99</v>
      </c>
      <c r="D403" t="n">
        <v>1</v>
      </c>
    </row>
    <row r="404">
      <c r="A404" t="n">
        <v>37</v>
      </c>
      <c r="B404" s="4" t="n">
        <v>46034</v>
      </c>
      <c r="C404" t="n">
        <v>149</v>
      </c>
      <c r="D404" t="n">
        <v>1</v>
      </c>
    </row>
    <row r="405">
      <c r="A405" t="n">
        <v>37</v>
      </c>
      <c r="B405" s="4" t="n">
        <v>46038</v>
      </c>
      <c r="C405" t="n">
        <v>2999</v>
      </c>
      <c r="D405" t="n">
        <v>1</v>
      </c>
    </row>
    <row r="406">
      <c r="A406" t="n">
        <v>37</v>
      </c>
      <c r="B406" s="4" t="n">
        <v>46039</v>
      </c>
      <c r="C406" t="n">
        <v>49</v>
      </c>
      <c r="D406" t="n">
        <v>1</v>
      </c>
    </row>
    <row r="407">
      <c r="A407" t="n">
        <v>37</v>
      </c>
      <c r="B407" s="4" t="n">
        <v>46042</v>
      </c>
      <c r="C407" t="n">
        <v>149</v>
      </c>
      <c r="D407" t="n">
        <v>1</v>
      </c>
    </row>
    <row r="408">
      <c r="A408" t="n">
        <v>37</v>
      </c>
      <c r="B408" s="4" t="n">
        <v>46043</v>
      </c>
      <c r="C408" t="n">
        <v>99</v>
      </c>
      <c r="D408" t="n">
        <v>1</v>
      </c>
    </row>
    <row r="409">
      <c r="A409" t="n">
        <v>37</v>
      </c>
      <c r="B409" s="4" t="n">
        <v>46045</v>
      </c>
      <c r="C409" t="n">
        <v>1999</v>
      </c>
      <c r="D409" t="n">
        <v>1</v>
      </c>
    </row>
    <row r="410">
      <c r="A410" t="n">
        <v>37</v>
      </c>
      <c r="B410" s="4" t="n">
        <v>46049</v>
      </c>
      <c r="C410" t="n">
        <v>799</v>
      </c>
      <c r="D410" t="n">
        <v>1</v>
      </c>
    </row>
    <row r="411">
      <c r="A411" t="n">
        <v>37</v>
      </c>
      <c r="B411" s="4" t="n">
        <v>46050</v>
      </c>
      <c r="C411" t="n">
        <v>697</v>
      </c>
      <c r="D411" t="n">
        <v>3</v>
      </c>
    </row>
    <row r="412">
      <c r="A412" t="n">
        <v>37</v>
      </c>
      <c r="B412" s="4" t="n">
        <v>46051</v>
      </c>
      <c r="C412" t="n">
        <v>149</v>
      </c>
      <c r="D412" t="n">
        <v>1</v>
      </c>
    </row>
    <row r="413">
      <c r="A413" t="n">
        <v>37</v>
      </c>
      <c r="B413" s="4" t="n">
        <v>46052</v>
      </c>
      <c r="C413" t="n">
        <v>299</v>
      </c>
      <c r="D413" t="n">
        <v>1</v>
      </c>
    </row>
    <row r="414">
      <c r="A414" t="n">
        <v>38</v>
      </c>
      <c r="B414" s="4" t="n">
        <v>46027</v>
      </c>
      <c r="C414" t="n">
        <v>1499</v>
      </c>
      <c r="D414" t="n">
        <v>1</v>
      </c>
    </row>
    <row r="415">
      <c r="A415" t="n">
        <v>38</v>
      </c>
      <c r="B415" s="4" t="n">
        <v>46028</v>
      </c>
      <c r="C415" t="n">
        <v>99</v>
      </c>
      <c r="D415" t="n">
        <v>1</v>
      </c>
    </row>
    <row r="416">
      <c r="A416" t="n">
        <v>38</v>
      </c>
      <c r="B416" s="4" t="n">
        <v>46031</v>
      </c>
      <c r="C416" t="n">
        <v>348</v>
      </c>
      <c r="D416" t="n">
        <v>2</v>
      </c>
    </row>
    <row r="417">
      <c r="A417" t="n">
        <v>38</v>
      </c>
      <c r="B417" s="4" t="n">
        <v>46032</v>
      </c>
      <c r="C417" t="n">
        <v>398</v>
      </c>
      <c r="D417" t="n">
        <v>2</v>
      </c>
    </row>
    <row r="418">
      <c r="A418" t="n">
        <v>38</v>
      </c>
      <c r="B418" s="4" t="n">
        <v>46037</v>
      </c>
      <c r="C418" t="n">
        <v>499</v>
      </c>
      <c r="D418" t="n">
        <v>1</v>
      </c>
    </row>
    <row r="419">
      <c r="A419" t="n">
        <v>38</v>
      </c>
      <c r="B419" s="4" t="n">
        <v>46044</v>
      </c>
      <c r="C419" t="n">
        <v>299</v>
      </c>
      <c r="D419" t="n">
        <v>1</v>
      </c>
    </row>
    <row r="420">
      <c r="A420" t="n">
        <v>38</v>
      </c>
      <c r="B420" s="4" t="n">
        <v>46045</v>
      </c>
      <c r="C420" t="n">
        <v>499</v>
      </c>
      <c r="D420" t="n">
        <v>1</v>
      </c>
    </row>
    <row r="421">
      <c r="A421" t="n">
        <v>38</v>
      </c>
      <c r="B421" s="4" t="n">
        <v>46050</v>
      </c>
      <c r="C421" t="n">
        <v>299</v>
      </c>
      <c r="D421" t="n">
        <v>1</v>
      </c>
    </row>
    <row r="422">
      <c r="A422" t="n">
        <v>39</v>
      </c>
      <c r="B422" s="4" t="n">
        <v>46024</v>
      </c>
      <c r="C422" t="n">
        <v>499</v>
      </c>
      <c r="D422" t="n">
        <v>1</v>
      </c>
    </row>
    <row r="423">
      <c r="A423" t="n">
        <v>39</v>
      </c>
      <c r="B423" s="4" t="n">
        <v>46027</v>
      </c>
      <c r="C423" t="n">
        <v>299</v>
      </c>
      <c r="D423" t="n">
        <v>1</v>
      </c>
    </row>
    <row r="424">
      <c r="A424" t="n">
        <v>39</v>
      </c>
      <c r="B424" s="4" t="n">
        <v>46031</v>
      </c>
      <c r="C424" t="n">
        <v>399</v>
      </c>
      <c r="D424" t="n">
        <v>1</v>
      </c>
    </row>
    <row r="425">
      <c r="A425" t="n">
        <v>39</v>
      </c>
      <c r="B425" s="4" t="n">
        <v>46032</v>
      </c>
      <c r="C425" t="n">
        <v>49</v>
      </c>
      <c r="D425" t="n">
        <v>1</v>
      </c>
    </row>
    <row r="426">
      <c r="A426" t="n">
        <v>39</v>
      </c>
      <c r="B426" s="4" t="n">
        <v>46038</v>
      </c>
      <c r="C426" t="n">
        <v>499</v>
      </c>
      <c r="D426" t="n">
        <v>1</v>
      </c>
    </row>
    <row r="427">
      <c r="A427" t="n">
        <v>39</v>
      </c>
      <c r="B427" s="4" t="n">
        <v>46039</v>
      </c>
      <c r="C427" t="n">
        <v>2999</v>
      </c>
      <c r="D427" t="n">
        <v>1</v>
      </c>
    </row>
    <row r="428">
      <c r="A428" t="n">
        <v>39</v>
      </c>
      <c r="B428" s="4" t="n">
        <v>46040</v>
      </c>
      <c r="C428" t="n">
        <v>2999</v>
      </c>
      <c r="D428" t="n">
        <v>1</v>
      </c>
    </row>
    <row r="429">
      <c r="A429" t="n">
        <v>39</v>
      </c>
      <c r="B429" s="4" t="n">
        <v>46044</v>
      </c>
      <c r="C429" t="n">
        <v>9796</v>
      </c>
      <c r="D429" t="n">
        <v>4</v>
      </c>
    </row>
    <row r="430">
      <c r="A430" t="n">
        <v>39</v>
      </c>
      <c r="B430" s="4" t="n">
        <v>46045</v>
      </c>
      <c r="C430" t="n">
        <v>4999</v>
      </c>
      <c r="D430" t="n">
        <v>1</v>
      </c>
    </row>
    <row r="431">
      <c r="A431" t="n">
        <v>39</v>
      </c>
      <c r="B431" s="4" t="n">
        <v>46051</v>
      </c>
      <c r="C431" t="n">
        <v>149</v>
      </c>
      <c r="D431" t="n">
        <v>1</v>
      </c>
    </row>
    <row r="432">
      <c r="A432" t="n">
        <v>40</v>
      </c>
      <c r="B432" s="4" t="n">
        <v>46023</v>
      </c>
      <c r="C432" t="n">
        <v>299</v>
      </c>
      <c r="D432" t="n">
        <v>1</v>
      </c>
    </row>
    <row r="433">
      <c r="A433" t="n">
        <v>40</v>
      </c>
      <c r="B433" s="4" t="n">
        <v>46025</v>
      </c>
      <c r="C433" t="n">
        <v>49</v>
      </c>
      <c r="D433" t="n">
        <v>1</v>
      </c>
    </row>
    <row r="434">
      <c r="A434" t="n">
        <v>40</v>
      </c>
      <c r="B434" s="4" t="n">
        <v>46030</v>
      </c>
      <c r="C434" t="n">
        <v>49</v>
      </c>
      <c r="D434" t="n">
        <v>1</v>
      </c>
    </row>
    <row r="435">
      <c r="A435" t="n">
        <v>40</v>
      </c>
      <c r="B435" s="4" t="n">
        <v>46033</v>
      </c>
      <c r="C435" t="n">
        <v>4999</v>
      </c>
      <c r="D435" t="n">
        <v>1</v>
      </c>
    </row>
    <row r="436">
      <c r="A436" t="n">
        <v>40</v>
      </c>
      <c r="B436" s="4" t="n">
        <v>46034</v>
      </c>
      <c r="C436" t="n">
        <v>99</v>
      </c>
      <c r="D436" t="n">
        <v>1</v>
      </c>
    </row>
    <row r="437">
      <c r="A437" t="n">
        <v>40</v>
      </c>
      <c r="B437" s="4" t="n">
        <v>46035</v>
      </c>
      <c r="C437" t="n">
        <v>299</v>
      </c>
      <c r="D437" t="n">
        <v>1</v>
      </c>
    </row>
    <row r="438">
      <c r="A438" t="n">
        <v>40</v>
      </c>
      <c r="B438" s="4" t="n">
        <v>46036</v>
      </c>
      <c r="C438" t="n">
        <v>99</v>
      </c>
      <c r="D438" t="n">
        <v>1</v>
      </c>
    </row>
    <row r="439">
      <c r="A439" t="n">
        <v>40</v>
      </c>
      <c r="B439" s="4" t="n">
        <v>46037</v>
      </c>
      <c r="C439" t="n">
        <v>149</v>
      </c>
      <c r="D439" t="n">
        <v>1</v>
      </c>
    </row>
    <row r="440">
      <c r="A440" t="n">
        <v>40</v>
      </c>
      <c r="B440" s="4" t="n">
        <v>46040</v>
      </c>
      <c r="C440" t="n">
        <v>799</v>
      </c>
      <c r="D440" t="n">
        <v>1</v>
      </c>
    </row>
    <row r="441">
      <c r="A441" t="n">
        <v>40</v>
      </c>
      <c r="B441" s="4" t="n">
        <v>46041</v>
      </c>
      <c r="C441" t="n">
        <v>648</v>
      </c>
      <c r="D441" t="n">
        <v>2</v>
      </c>
    </row>
    <row r="442">
      <c r="A442" t="n">
        <v>40</v>
      </c>
      <c r="B442" s="4" t="n">
        <v>46045</v>
      </c>
      <c r="C442" t="n">
        <v>598</v>
      </c>
      <c r="D442" t="n">
        <v>2</v>
      </c>
    </row>
    <row r="443">
      <c r="A443" t="n">
        <v>40</v>
      </c>
      <c r="B443" s="4" t="n">
        <v>46051</v>
      </c>
      <c r="C443" t="n">
        <v>149</v>
      </c>
      <c r="D443" t="n">
        <v>1</v>
      </c>
    </row>
    <row r="444">
      <c r="A444" t="n">
        <v>40</v>
      </c>
      <c r="B444" s="4" t="n">
        <v>46052</v>
      </c>
      <c r="C444" t="n">
        <v>499</v>
      </c>
      <c r="D44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2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merchant_id</t>
        </is>
      </c>
      <c r="B1" s="1" t="inlineStr">
        <is>
          <t>sum_captured</t>
        </is>
      </c>
      <c r="C1" s="1" t="inlineStr">
        <is>
          <t>sum_chargeback</t>
        </is>
      </c>
      <c r="D1" s="1" t="inlineStr">
        <is>
          <t>sum_failed</t>
        </is>
      </c>
      <c r="E1" s="1" t="inlineStr">
        <is>
          <t>count_captured</t>
        </is>
      </c>
      <c r="F1" s="1" t="inlineStr">
        <is>
          <t>count_chargeback</t>
        </is>
      </c>
      <c r="G1" s="1" t="inlineStr">
        <is>
          <t>count_failed</t>
        </is>
      </c>
    </row>
    <row r="2">
      <c r="A2" t="n">
        <v>1</v>
      </c>
      <c r="B2" t="n">
        <v>10142</v>
      </c>
      <c r="C2" t="n">
        <v>0</v>
      </c>
      <c r="D2" t="n">
        <v>299</v>
      </c>
      <c r="E2" t="n">
        <v>8</v>
      </c>
      <c r="F2" t="n">
        <v>0</v>
      </c>
      <c r="G2" t="n">
        <v>1</v>
      </c>
    </row>
    <row r="3">
      <c r="A3" t="n">
        <v>2</v>
      </c>
      <c r="B3" t="n">
        <v>3640</v>
      </c>
      <c r="C3" t="n">
        <v>0</v>
      </c>
      <c r="D3" t="n">
        <v>0</v>
      </c>
      <c r="E3" t="n">
        <v>10</v>
      </c>
      <c r="F3" t="n">
        <v>0</v>
      </c>
      <c r="G3" t="n">
        <v>0</v>
      </c>
    </row>
    <row r="4">
      <c r="A4" t="n">
        <v>3</v>
      </c>
      <c r="B4" t="n">
        <v>8084</v>
      </c>
      <c r="C4" t="n">
        <v>149</v>
      </c>
      <c r="D4" t="n">
        <v>0</v>
      </c>
      <c r="E4" t="n">
        <v>16</v>
      </c>
      <c r="F4" t="n">
        <v>1</v>
      </c>
      <c r="G4" t="n">
        <v>0</v>
      </c>
    </row>
    <row r="5">
      <c r="A5" t="n">
        <v>4</v>
      </c>
      <c r="B5" t="n">
        <v>6941</v>
      </c>
      <c r="C5" t="n">
        <v>0</v>
      </c>
      <c r="D5" t="n">
        <v>0</v>
      </c>
      <c r="E5" t="n">
        <v>9</v>
      </c>
      <c r="F5" t="n">
        <v>0</v>
      </c>
      <c r="G5" t="n">
        <v>0</v>
      </c>
    </row>
    <row r="6">
      <c r="A6" t="n">
        <v>5</v>
      </c>
      <c r="B6" t="n">
        <v>5340</v>
      </c>
      <c r="C6" t="n">
        <v>0</v>
      </c>
      <c r="D6" t="n">
        <v>499</v>
      </c>
      <c r="E6" t="n">
        <v>10</v>
      </c>
      <c r="F6" t="n">
        <v>0</v>
      </c>
      <c r="G6" t="n">
        <v>1</v>
      </c>
    </row>
    <row r="7">
      <c r="A7" t="n">
        <v>6</v>
      </c>
      <c r="B7" t="n">
        <v>6637</v>
      </c>
      <c r="C7" t="n">
        <v>799</v>
      </c>
      <c r="D7" t="n">
        <v>0</v>
      </c>
      <c r="E7" t="n">
        <v>13</v>
      </c>
      <c r="F7" t="n">
        <v>1</v>
      </c>
      <c r="G7" t="n">
        <v>0</v>
      </c>
    </row>
    <row r="8">
      <c r="A8" t="n">
        <v>7</v>
      </c>
      <c r="B8" t="n">
        <v>11638</v>
      </c>
      <c r="C8" t="n">
        <v>1999</v>
      </c>
      <c r="D8" t="n">
        <v>2297</v>
      </c>
      <c r="E8" t="n">
        <v>12</v>
      </c>
      <c r="F8" t="n">
        <v>1</v>
      </c>
      <c r="G8" t="n">
        <v>3</v>
      </c>
    </row>
    <row r="9">
      <c r="A9" t="n">
        <v>8</v>
      </c>
      <c r="B9" t="n">
        <v>7086</v>
      </c>
      <c r="C9" t="n">
        <v>49</v>
      </c>
      <c r="D9" t="n">
        <v>299</v>
      </c>
      <c r="E9" t="n">
        <v>14</v>
      </c>
      <c r="F9" t="n">
        <v>1</v>
      </c>
      <c r="G9" t="n">
        <v>1</v>
      </c>
    </row>
    <row r="10">
      <c r="A10" t="n">
        <v>9</v>
      </c>
      <c r="B10" t="n">
        <v>4485</v>
      </c>
      <c r="C10" t="n">
        <v>0</v>
      </c>
      <c r="D10" t="n">
        <v>497</v>
      </c>
      <c r="E10" t="n">
        <v>15</v>
      </c>
      <c r="F10" t="n">
        <v>0</v>
      </c>
      <c r="G10" t="n">
        <v>3</v>
      </c>
    </row>
    <row r="11">
      <c r="A11" t="n">
        <v>10</v>
      </c>
      <c r="B11" t="n">
        <v>7639</v>
      </c>
      <c r="C11" t="n">
        <v>5048</v>
      </c>
      <c r="D11" t="n">
        <v>399</v>
      </c>
      <c r="E11" t="n">
        <v>11</v>
      </c>
      <c r="F11" t="n">
        <v>2</v>
      </c>
      <c r="G11" t="n">
        <v>1</v>
      </c>
    </row>
    <row r="12">
      <c r="A12" t="n">
        <v>11</v>
      </c>
      <c r="B12" t="n">
        <v>9292</v>
      </c>
      <c r="C12" t="n">
        <v>149</v>
      </c>
      <c r="D12" t="n">
        <v>1499</v>
      </c>
      <c r="E12" t="n">
        <v>8</v>
      </c>
      <c r="F12" t="n">
        <v>1</v>
      </c>
      <c r="G12" t="n">
        <v>1</v>
      </c>
    </row>
    <row r="13">
      <c r="A13" t="n">
        <v>12</v>
      </c>
      <c r="B13" t="n">
        <v>9389</v>
      </c>
      <c r="C13" t="n">
        <v>0</v>
      </c>
      <c r="D13" t="n">
        <v>998</v>
      </c>
      <c r="E13" t="n">
        <v>11</v>
      </c>
      <c r="F13" t="n">
        <v>0</v>
      </c>
      <c r="G13" t="n">
        <v>2</v>
      </c>
    </row>
    <row r="14">
      <c r="A14" t="n">
        <v>13</v>
      </c>
      <c r="B14" t="n">
        <v>10390</v>
      </c>
      <c r="C14" t="n">
        <v>4999</v>
      </c>
      <c r="D14" t="n">
        <v>2999</v>
      </c>
      <c r="E14" t="n">
        <v>10</v>
      </c>
      <c r="F14" t="n">
        <v>1</v>
      </c>
      <c r="G14" t="n">
        <v>1</v>
      </c>
    </row>
    <row r="15">
      <c r="A15" t="n">
        <v>14</v>
      </c>
      <c r="B15" t="n">
        <v>6189</v>
      </c>
      <c r="C15" t="n">
        <v>0</v>
      </c>
      <c r="D15" t="n">
        <v>299</v>
      </c>
      <c r="E15" t="n">
        <v>11</v>
      </c>
      <c r="F15" t="n">
        <v>0</v>
      </c>
      <c r="G15" t="n">
        <v>1</v>
      </c>
    </row>
    <row r="16">
      <c r="A16" t="n">
        <v>15</v>
      </c>
      <c r="B16" t="n">
        <v>7439</v>
      </c>
      <c r="C16" t="n">
        <v>0</v>
      </c>
      <c r="D16" t="n">
        <v>399</v>
      </c>
      <c r="E16" t="n">
        <v>11</v>
      </c>
      <c r="F16" t="n">
        <v>0</v>
      </c>
      <c r="G16" t="n">
        <v>1</v>
      </c>
    </row>
    <row r="17">
      <c r="A17" t="n">
        <v>16</v>
      </c>
      <c r="B17" t="n">
        <v>10183</v>
      </c>
      <c r="C17" t="n">
        <v>0</v>
      </c>
      <c r="D17" t="n">
        <v>947</v>
      </c>
      <c r="E17" t="n">
        <v>17</v>
      </c>
      <c r="F17" t="n">
        <v>0</v>
      </c>
      <c r="G17" t="n">
        <v>3</v>
      </c>
    </row>
    <row r="18">
      <c r="A18" t="n">
        <v>17</v>
      </c>
      <c r="B18" t="n">
        <v>12738</v>
      </c>
      <c r="C18" t="n">
        <v>0</v>
      </c>
      <c r="D18" t="n">
        <v>299</v>
      </c>
      <c r="E18" t="n">
        <v>12</v>
      </c>
      <c r="F18" t="n">
        <v>0</v>
      </c>
      <c r="G18" t="n">
        <v>1</v>
      </c>
    </row>
    <row r="19">
      <c r="A19" t="n">
        <v>18</v>
      </c>
      <c r="B19" t="n">
        <v>7089</v>
      </c>
      <c r="C19" t="n">
        <v>0</v>
      </c>
      <c r="D19" t="n">
        <v>0</v>
      </c>
      <c r="E19" t="n">
        <v>11</v>
      </c>
      <c r="F19" t="n">
        <v>0</v>
      </c>
      <c r="G19" t="n">
        <v>0</v>
      </c>
    </row>
    <row r="20">
      <c r="A20" t="n">
        <v>19</v>
      </c>
      <c r="B20" t="n">
        <v>7239</v>
      </c>
      <c r="C20" t="n">
        <v>4999</v>
      </c>
      <c r="D20" t="n">
        <v>598</v>
      </c>
      <c r="E20" t="n">
        <v>11</v>
      </c>
      <c r="F20" t="n">
        <v>1</v>
      </c>
      <c r="G20" t="n">
        <v>2</v>
      </c>
    </row>
    <row r="21">
      <c r="A21" t="n">
        <v>20</v>
      </c>
      <c r="B21" t="n">
        <v>4192</v>
      </c>
      <c r="C21" t="n">
        <v>0</v>
      </c>
      <c r="D21" t="n">
        <v>49</v>
      </c>
      <c r="E21" t="n">
        <v>8</v>
      </c>
      <c r="F21" t="n">
        <v>0</v>
      </c>
      <c r="G21" t="n">
        <v>1</v>
      </c>
    </row>
    <row r="22">
      <c r="A22" t="n">
        <v>21</v>
      </c>
      <c r="B22" t="n">
        <v>3887</v>
      </c>
      <c r="C22" t="n">
        <v>0</v>
      </c>
      <c r="D22" t="n">
        <v>4999</v>
      </c>
      <c r="E22" t="n">
        <v>13</v>
      </c>
      <c r="F22" t="n">
        <v>0</v>
      </c>
      <c r="G22" t="n">
        <v>1</v>
      </c>
    </row>
    <row r="23">
      <c r="A23" t="n">
        <v>22</v>
      </c>
      <c r="B23" t="n">
        <v>11336</v>
      </c>
      <c r="C23" t="n">
        <v>0</v>
      </c>
      <c r="D23" t="n">
        <v>1198</v>
      </c>
      <c r="E23" t="n">
        <v>14</v>
      </c>
      <c r="F23" t="n">
        <v>0</v>
      </c>
      <c r="G23" t="n">
        <v>2</v>
      </c>
    </row>
    <row r="24">
      <c r="A24" t="n">
        <v>23</v>
      </c>
      <c r="B24" t="n">
        <v>1041</v>
      </c>
      <c r="C24" t="n">
        <v>1999</v>
      </c>
      <c r="D24" t="n">
        <v>0</v>
      </c>
      <c r="E24" t="n">
        <v>9</v>
      </c>
      <c r="F24" t="n">
        <v>1</v>
      </c>
      <c r="G24" t="n">
        <v>0</v>
      </c>
    </row>
    <row r="25">
      <c r="A25" t="n">
        <v>24</v>
      </c>
      <c r="B25" t="n">
        <v>3438</v>
      </c>
      <c r="C25" t="n">
        <v>149</v>
      </c>
      <c r="D25" t="n">
        <v>0</v>
      </c>
      <c r="E25" t="n">
        <v>12</v>
      </c>
      <c r="F25" t="n">
        <v>1</v>
      </c>
      <c r="G25" t="n">
        <v>0</v>
      </c>
    </row>
    <row r="26">
      <c r="A26" t="n">
        <v>25</v>
      </c>
      <c r="B26" t="n">
        <v>12534</v>
      </c>
      <c r="C26" t="n">
        <v>2999</v>
      </c>
      <c r="D26" t="n">
        <v>0</v>
      </c>
      <c r="E26" t="n">
        <v>16</v>
      </c>
      <c r="F26" t="n">
        <v>1</v>
      </c>
      <c r="G26" t="n">
        <v>0</v>
      </c>
    </row>
    <row r="27">
      <c r="A27" t="n">
        <v>26</v>
      </c>
      <c r="B27" t="n">
        <v>2991</v>
      </c>
      <c r="C27" t="n">
        <v>0</v>
      </c>
      <c r="D27" t="n">
        <v>2197</v>
      </c>
      <c r="E27" t="n">
        <v>9</v>
      </c>
      <c r="F27" t="n">
        <v>0</v>
      </c>
      <c r="G27" t="n">
        <v>3</v>
      </c>
    </row>
    <row r="28">
      <c r="A28" t="n">
        <v>27</v>
      </c>
      <c r="B28" t="n">
        <v>8038</v>
      </c>
      <c r="C28" t="n">
        <v>4047</v>
      </c>
      <c r="D28" t="n">
        <v>1499</v>
      </c>
      <c r="E28" t="n">
        <v>12</v>
      </c>
      <c r="F28" t="n">
        <v>3</v>
      </c>
      <c r="G28" t="n">
        <v>1</v>
      </c>
    </row>
    <row r="29">
      <c r="A29" t="n">
        <v>28</v>
      </c>
      <c r="B29" t="n">
        <v>4493</v>
      </c>
      <c r="C29" t="n">
        <v>1999</v>
      </c>
      <c r="D29" t="n">
        <v>3048</v>
      </c>
      <c r="E29" t="n">
        <v>7</v>
      </c>
      <c r="F29" t="n">
        <v>1</v>
      </c>
      <c r="G29" t="n">
        <v>2</v>
      </c>
    </row>
    <row r="30">
      <c r="A30" t="n">
        <v>29</v>
      </c>
      <c r="B30" t="n">
        <v>5686</v>
      </c>
      <c r="C30" t="n">
        <v>3897</v>
      </c>
      <c r="D30" t="n">
        <v>3498</v>
      </c>
      <c r="E30" t="n">
        <v>14</v>
      </c>
      <c r="F30" t="n">
        <v>3</v>
      </c>
      <c r="G30" t="n">
        <v>2</v>
      </c>
    </row>
    <row r="31">
      <c r="A31" t="n">
        <v>30</v>
      </c>
      <c r="B31" t="n">
        <v>7384</v>
      </c>
      <c r="C31" t="n">
        <v>0</v>
      </c>
      <c r="D31" t="n">
        <v>499</v>
      </c>
      <c r="E31" t="n">
        <v>16</v>
      </c>
      <c r="F31" t="n">
        <v>0</v>
      </c>
      <c r="G31" t="n">
        <v>1</v>
      </c>
    </row>
    <row r="32">
      <c r="A32" t="n">
        <v>31</v>
      </c>
      <c r="B32" t="n">
        <v>2640</v>
      </c>
      <c r="C32" t="n">
        <v>49</v>
      </c>
      <c r="D32" t="n">
        <v>2146</v>
      </c>
      <c r="E32" t="n">
        <v>10</v>
      </c>
      <c r="F32" t="n">
        <v>1</v>
      </c>
      <c r="G32" t="n">
        <v>4</v>
      </c>
    </row>
    <row r="33">
      <c r="A33" t="n">
        <v>32</v>
      </c>
      <c r="B33" t="n">
        <v>2589</v>
      </c>
      <c r="C33" t="n">
        <v>1999</v>
      </c>
      <c r="D33" t="n">
        <v>3498</v>
      </c>
      <c r="E33" t="n">
        <v>11</v>
      </c>
      <c r="F33" t="n">
        <v>1</v>
      </c>
      <c r="G33" t="n">
        <v>2</v>
      </c>
    </row>
    <row r="34">
      <c r="A34" t="n">
        <v>33</v>
      </c>
      <c r="B34" t="n">
        <v>10190</v>
      </c>
      <c r="C34" t="n">
        <v>0</v>
      </c>
      <c r="D34" t="n">
        <v>149</v>
      </c>
      <c r="E34" t="n">
        <v>10</v>
      </c>
      <c r="F34" t="n">
        <v>0</v>
      </c>
      <c r="G34" t="n">
        <v>1</v>
      </c>
    </row>
    <row r="35">
      <c r="A35" t="n">
        <v>34</v>
      </c>
      <c r="B35" t="n">
        <v>9635</v>
      </c>
      <c r="C35" t="n">
        <v>0</v>
      </c>
      <c r="D35" t="n">
        <v>399</v>
      </c>
      <c r="E35" t="n">
        <v>15</v>
      </c>
      <c r="F35" t="n">
        <v>0</v>
      </c>
      <c r="G35" t="n">
        <v>1</v>
      </c>
    </row>
    <row r="36">
      <c r="A36" t="n">
        <v>35</v>
      </c>
      <c r="B36" t="n">
        <v>8688</v>
      </c>
      <c r="C36" t="n">
        <v>0</v>
      </c>
      <c r="D36" t="n">
        <v>598</v>
      </c>
      <c r="E36" t="n">
        <v>12</v>
      </c>
      <c r="F36" t="n">
        <v>0</v>
      </c>
      <c r="G36" t="n">
        <v>2</v>
      </c>
    </row>
    <row r="37">
      <c r="A37" t="n">
        <v>36</v>
      </c>
      <c r="B37" t="n">
        <v>11535</v>
      </c>
      <c r="C37" t="n">
        <v>999</v>
      </c>
      <c r="D37" t="n">
        <v>0</v>
      </c>
      <c r="E37" t="n">
        <v>15</v>
      </c>
      <c r="F37" t="n">
        <v>1</v>
      </c>
      <c r="G37" t="n">
        <v>0</v>
      </c>
    </row>
    <row r="38">
      <c r="A38" t="n">
        <v>37</v>
      </c>
      <c r="B38" t="n">
        <v>10833</v>
      </c>
      <c r="C38" t="n">
        <v>1999</v>
      </c>
      <c r="D38" t="n">
        <v>99</v>
      </c>
      <c r="E38" t="n">
        <v>17</v>
      </c>
      <c r="F38" t="n">
        <v>1</v>
      </c>
      <c r="G38" t="n">
        <v>1</v>
      </c>
    </row>
    <row r="39">
      <c r="A39" t="n">
        <v>38</v>
      </c>
      <c r="B39" t="n">
        <v>3342</v>
      </c>
      <c r="C39" t="n">
        <v>0</v>
      </c>
      <c r="D39" t="n">
        <v>598</v>
      </c>
      <c r="E39" t="n">
        <v>8</v>
      </c>
      <c r="F39" t="n">
        <v>0</v>
      </c>
      <c r="G39" t="n">
        <v>2</v>
      </c>
    </row>
    <row r="40">
      <c r="A40" t="n">
        <v>39</v>
      </c>
      <c r="B40" t="n">
        <v>11291</v>
      </c>
      <c r="C40" t="n">
        <v>10997</v>
      </c>
      <c r="D40" t="n">
        <v>399</v>
      </c>
      <c r="E40" t="n">
        <v>9</v>
      </c>
      <c r="F40" t="n">
        <v>3</v>
      </c>
      <c r="G40" t="n">
        <v>1</v>
      </c>
    </row>
    <row r="41">
      <c r="A41" t="n">
        <v>40</v>
      </c>
      <c r="B41" t="n">
        <v>3039</v>
      </c>
      <c r="C41" t="n">
        <v>5148</v>
      </c>
      <c r="D41" t="n">
        <v>548</v>
      </c>
      <c r="E41" t="n">
        <v>11</v>
      </c>
      <c r="F41" t="n">
        <v>2</v>
      </c>
      <c r="G4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4" customWidth="1" min="3" max="3"/>
    <col width="28" customWidth="1" min="4" max="4"/>
  </cols>
  <sheetData>
    <row r="1">
      <c r="A1" s="1" t="inlineStr">
        <is>
          <t>merchant_id</t>
        </is>
      </c>
      <c r="B1" s="1" t="inlineStr">
        <is>
          <t>total_transaction_count</t>
        </is>
      </c>
      <c r="C1" s="1" t="inlineStr">
        <is>
          <t>unique_days_transacted</t>
        </is>
      </c>
      <c r="D1" s="1" t="inlineStr">
        <is>
          <t>transactions_per_active_day</t>
        </is>
      </c>
    </row>
    <row r="2">
      <c r="A2" t="n">
        <v>1</v>
      </c>
      <c r="B2" t="n">
        <v>9</v>
      </c>
      <c r="C2" t="n">
        <v>7</v>
      </c>
      <c r="D2" t="n">
        <v>1.285714285714286</v>
      </c>
    </row>
    <row r="3">
      <c r="A3" t="n">
        <v>2</v>
      </c>
      <c r="B3" t="n">
        <v>10</v>
      </c>
      <c r="C3" t="n">
        <v>9</v>
      </c>
      <c r="D3" t="n">
        <v>1.111111111111111</v>
      </c>
    </row>
    <row r="4">
      <c r="A4" t="n">
        <v>3</v>
      </c>
      <c r="B4" t="n">
        <v>17</v>
      </c>
      <c r="C4" t="n">
        <v>13</v>
      </c>
      <c r="D4" t="n">
        <v>1.307692307692308</v>
      </c>
    </row>
    <row r="5">
      <c r="A5" t="n">
        <v>4</v>
      </c>
      <c r="B5" t="n">
        <v>9</v>
      </c>
      <c r="C5" t="n">
        <v>7</v>
      </c>
      <c r="D5" t="n">
        <v>1.285714285714286</v>
      </c>
    </row>
    <row r="6">
      <c r="A6" t="n">
        <v>5</v>
      </c>
      <c r="B6" t="n">
        <v>11</v>
      </c>
      <c r="C6" t="n">
        <v>9</v>
      </c>
      <c r="D6" t="n">
        <v>1.222222222222222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6" t="inlineStr">
        <is>
          <t>Part A rule</t>
        </is>
      </c>
      <c r="B1" t="inlineStr">
        <is>
          <t>High-Value Merchant Day = merchant daily transaction total &gt; INR 5,000 AND merchant region is not East.</t>
        </is>
      </c>
    </row>
    <row r="2">
      <c r="A2" s="6" t="inlineStr">
        <is>
          <t>VLOOKUP</t>
        </is>
      </c>
      <c r="B2" t="inlineStr">
        <is>
          <t>Transactions_View columns J:L use fixed Merchants!$A$2:$D$41 with IFERROR.</t>
        </is>
      </c>
    </row>
    <row r="3">
      <c r="A3" s="6" t="inlineStr">
        <is>
          <t>HLOOKUP</t>
        </is>
      </c>
      <c r="B3" t="inlineStr">
        <is>
          <t>Transactions_View column M uses Fee_Reference!$B$1:$E$2. Fee rates are synthetic assumptions only.</t>
        </is>
      </c>
    </row>
    <row r="4">
      <c r="A4" s="6" t="inlineStr">
        <is>
          <t>Daily total</t>
        </is>
      </c>
      <c r="B4" t="inlineStr">
        <is>
          <t>Transactions_View column N uses SUMIFS by merchant_id and transaction_date.</t>
        </is>
      </c>
    </row>
    <row r="5">
      <c r="A5" s="6" t="inlineStr">
        <is>
          <t>Nested IF / AND</t>
        </is>
      </c>
      <c r="B5" t="inlineStr">
        <is>
          <t>Transactions_View column O uses IF/AND to apply the documented classification rule.</t>
        </is>
      </c>
    </row>
    <row r="6">
      <c r="A6" s="6" t="inlineStr">
        <is>
          <t>Pivot requirement</t>
        </is>
      </c>
      <c r="B6" t="inlineStr">
        <is>
          <t>Pivot_Merchant_Status contains the merchant/status amount and count summary. It is a pivot-style static summary generated from the exact ledger; if your assessor requires a native Excel PivotTable object, open the source Transactions_View table in Excel and insert a PivotTable using merchant_id as Rows, status as Columns, and amount_inr/count(transaction_id) as Values.</t>
        </is>
      </c>
    </row>
    <row r="7">
      <c r="A7" s="6" t="inlineStr">
        <is>
          <t>Unique-day comparison</t>
        </is>
      </c>
      <c r="B7" t="inlineStr">
        <is>
          <t>Merchant_Day_Comparison compares total transaction count with unique active days for five merchants.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2026-08-25T15:32:20Z</dcterms:created>
  <dcterms:modified xmlns:dcterms="http://purl.org/dc/terms/" xmlns:xsi="http://www.w3.org/2001/XMLSchema-instance" xsi:type="dcterms:W3CDTF">2026-08-25T15:32:21Z</dcterms:modified>
</cp:coreProperties>
</file>